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1" sheetId="6" r:id="rId1"/>
    <sheet name="2" sheetId="7" r:id="rId2"/>
    <sheet name="3" sheetId="1" r:id="rId3"/>
    <sheet name="6" sheetId="3" r:id="rId4"/>
    <sheet name="7" sheetId="4" r:id="rId5"/>
    <sheet name="10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<sst xmlns="http://schemas.openxmlformats.org/spreadsheetml/2006/main" count="181" uniqueCount="139">
  <si>
    <t>VB</t>
  </si>
  <si>
    <t>VC</t>
  </si>
  <si>
    <t>VD</t>
  </si>
  <si>
    <t>V0</t>
  </si>
  <si>
    <t>VH</t>
  </si>
  <si>
    <t>H-0</t>
  </si>
  <si>
    <t>H-B</t>
  </si>
  <si>
    <t>H-C</t>
  </si>
  <si>
    <t>H-D</t>
  </si>
  <si>
    <t>zc</t>
  </si>
  <si>
    <t>zd</t>
  </si>
  <si>
    <t>表3-2</t>
  </si>
  <si>
    <t>体积流量</t>
  </si>
  <si>
    <t>次序</t>
  </si>
  <si>
    <t>(10^-6 m3)</t>
  </si>
  <si>
    <t>(s)</t>
  </si>
  <si>
    <t>(10^-6 m3/s)</t>
  </si>
  <si>
    <t>dletaV1</t>
  </si>
  <si>
    <t>deltaT1</t>
  </si>
  <si>
    <t>qv1</t>
  </si>
  <si>
    <t>dletaV2</t>
  </si>
  <si>
    <t>deltaT2</t>
  </si>
  <si>
    <t>qv2</t>
  </si>
  <si>
    <t>dletaV3</t>
  </si>
  <si>
    <t>deltaT3</t>
  </si>
  <si>
    <t>qv3</t>
  </si>
  <si>
    <t>截面积</t>
  </si>
  <si>
    <t>(10^-2 m)</t>
  </si>
  <si>
    <t>(10^-4 m2)</t>
  </si>
  <si>
    <t>14管</t>
  </si>
  <si>
    <t>d</t>
  </si>
  <si>
    <t>A1</t>
  </si>
  <si>
    <t>16管</t>
  </si>
  <si>
    <t>A2</t>
  </si>
  <si>
    <t>qv</t>
  </si>
  <si>
    <t>v1</t>
  </si>
  <si>
    <t>v1^2/2g(10^-2 m)</t>
  </si>
  <si>
    <t>v2</t>
  </si>
  <si>
    <t>v2^2/2g(10^-2 m)</t>
  </si>
  <si>
    <t>A3</t>
  </si>
  <si>
    <t>v3</t>
  </si>
  <si>
    <t>v3^2/2g(10^-2 m)</t>
  </si>
  <si>
    <t>表3-3</t>
  </si>
  <si>
    <t>管号</t>
  </si>
  <si>
    <t>内径</t>
  </si>
  <si>
    <t>面积(10^-4 m2)</t>
  </si>
  <si>
    <t>均匀段</t>
  </si>
  <si>
    <t>12 13 16 18 22</t>
  </si>
  <si>
    <t>收缩段</t>
  </si>
  <si>
    <t>扩管段</t>
  </si>
  <si>
    <t>平均流速</t>
  </si>
  <si>
    <t>v</t>
  </si>
  <si>
    <t>v^2/2g(10^-2 m)</t>
  </si>
  <si>
    <t>原始数据</t>
  </si>
  <si>
    <t>H_12</t>
  </si>
  <si>
    <t>H_13</t>
  </si>
  <si>
    <t>H_14</t>
  </si>
  <si>
    <t>H_16</t>
  </si>
  <si>
    <t>H_18</t>
  </si>
  <si>
    <t>H_20</t>
  </si>
  <si>
    <t>H_22</t>
  </si>
  <si>
    <t>流量(10^-6 m3/s)</t>
  </si>
  <si>
    <t>管径</t>
  </si>
  <si>
    <t>L</t>
  </si>
  <si>
    <t>cm</t>
  </si>
  <si>
    <t>T</t>
  </si>
  <si>
    <t>°C</t>
  </si>
  <si>
    <t>表6-1</t>
  </si>
  <si>
    <t>体积10-6</t>
  </si>
  <si>
    <t>时间s</t>
  </si>
  <si>
    <t>流量10-6/s</t>
  </si>
  <si>
    <t>流速10-2/s</t>
  </si>
  <si>
    <t>黏度10-4/s</t>
  </si>
  <si>
    <t>雷诺数</t>
  </si>
  <si>
    <t>h1(10-2</t>
  </si>
  <si>
    <t>h2(10-2</t>
  </si>
  <si>
    <t>hf(10-2)</t>
  </si>
  <si>
    <t>lambda</t>
  </si>
  <si>
    <t>64/re</t>
  </si>
  <si>
    <t>表6-2</t>
  </si>
  <si>
    <t>lghf</t>
  </si>
  <si>
    <t>lgv</t>
  </si>
  <si>
    <t>lg入</t>
  </si>
  <si>
    <t>lgRe</t>
  </si>
  <si>
    <t>A</t>
  </si>
  <si>
    <t>表7-1</t>
  </si>
  <si>
    <t>h3</t>
  </si>
  <si>
    <t>h4</t>
  </si>
  <si>
    <t>h5</t>
  </si>
  <si>
    <t>h6</t>
  </si>
  <si>
    <t>h7</t>
  </si>
  <si>
    <t>h8</t>
  </si>
  <si>
    <t>体积</t>
  </si>
  <si>
    <t>时间</t>
  </si>
  <si>
    <t>qv10-6/s</t>
  </si>
  <si>
    <t>v4</t>
  </si>
  <si>
    <t>alpha:</t>
  </si>
  <si>
    <t>前断面</t>
  </si>
  <si>
    <t>后断面</t>
  </si>
  <si>
    <t>(h4-h5)/2，7-5变形</t>
  </si>
  <si>
    <t>7-1,7-5</t>
  </si>
  <si>
    <t>表7-2</t>
  </si>
  <si>
    <t>流量</t>
  </si>
  <si>
    <t>a*v^2/19.6</t>
  </si>
  <si>
    <t>总水头</t>
  </si>
  <si>
    <t>实测沿程损失</t>
  </si>
  <si>
    <t>实测局部损失10-2m</t>
  </si>
  <si>
    <t>测-局部阻力系数</t>
  </si>
  <si>
    <t>lilun</t>
  </si>
  <si>
    <t>h56</t>
  </si>
  <si>
    <t>h78</t>
  </si>
  <si>
    <t>h3+v3</t>
  </si>
  <si>
    <t>扩</t>
  </si>
  <si>
    <t>缩</t>
  </si>
  <si>
    <t>h9</t>
  </si>
  <si>
    <t>h10</t>
  </si>
  <si>
    <t>V</t>
  </si>
  <si>
    <t>t</t>
  </si>
  <si>
    <t>全开</t>
  </si>
  <si>
    <t>h8-h9</t>
  </si>
  <si>
    <t>h9-h10</t>
  </si>
  <si>
    <t>delta_h1/hw1</t>
  </si>
  <si>
    <t>delta_h2</t>
  </si>
  <si>
    <t>hj</t>
  </si>
  <si>
    <t>阀门阻力系数</t>
  </si>
  <si>
    <t>h1</t>
  </si>
  <si>
    <t>h2</t>
  </si>
  <si>
    <t>delta_V(10-6</t>
  </si>
  <si>
    <t>miu</t>
  </si>
  <si>
    <t>qvs</t>
  </si>
  <si>
    <t>dh1</t>
  </si>
  <si>
    <t>dh2</t>
  </si>
  <si>
    <t>文丘里</t>
  </si>
  <si>
    <t>孔板</t>
  </si>
  <si>
    <t>Re=</t>
  </si>
  <si>
    <t>C文</t>
  </si>
  <si>
    <t>C孔</t>
  </si>
  <si>
    <t>23.5320681890456</t>
  </si>
  <si>
    <t>14.1192409134274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</si>
</sst>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5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8" tint="-0.5"/>
      <name val="宋体"/>
      <charset val="134"/>
      <scheme val="minor"/>
    </font>
    <font>
      <sz val="11"/>
      <color theme="4" tint="-0.25"/>
      <name val="宋体"/>
      <charset val="134"/>
      <scheme val="minor"/>
    </font>
    <font>
      <sz val="11"/>
      <color rgb="FF92D05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EBF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5" borderId="1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11">
      <alignment vertical="center"/>
    </xf>
    <xf numFmtId="0" fontId="12" fillId="0" borderId="11">
      <alignment vertical="center"/>
    </xf>
    <xf numFmtId="0" fontId="13" fillId="0" borderId="12">
      <alignment vertical="center"/>
    </xf>
    <xf numFmtId="0" fontId="13" fillId="0" borderId="0">
      <alignment vertical="center"/>
    </xf>
    <xf numFmtId="0" fontId="14" fillId="6" borderId="13">
      <alignment vertical="center"/>
    </xf>
    <xf numFmtId="0" fontId="15" fillId="7" borderId="14">
      <alignment vertical="center"/>
    </xf>
    <xf numFmtId="0" fontId="16" fillId="7" borderId="13">
      <alignment vertical="center"/>
    </xf>
    <xf numFmtId="0" fontId="17" fillId="8" borderId="15">
      <alignment vertical="center"/>
    </xf>
    <xf numFmtId="0" fontId="18" fillId="0" borderId="16">
      <alignment vertical="center"/>
    </xf>
    <xf numFmtId="0" fontId="19" fillId="0" borderId="17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4" fillId="13" borderId="0">
      <alignment vertical="center"/>
    </xf>
    <xf numFmtId="0" fontId="24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4" fillId="33" borderId="0">
      <alignment vertical="center"/>
    </xf>
    <xf numFmtId="0" fontId="24" fillId="34" borderId="0">
      <alignment vertical="center"/>
    </xf>
    <xf numFmtId="0" fontId="23" fillId="35" borderId="0">
      <alignment vertical="center"/>
    </xf>
  </cellStyleXfs>
  <cellXfs count="31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176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vertical="center"/>
    </xf>
    <xf numFmtId="58" fontId="0" fillId="0" borderId="0" xfId="0" applyNumberForma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58" fontId="0" fillId="0" borderId="0" xfId="0" applyNumberFormat="1" applyAlignment="1">
      <alignment vertical="center"/>
    </xf>
    <xf numFmtId="0" fontId="0" fillId="0" borderId="3" xfId="0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5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EBF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Q20"/>
  <sheetViews>
    <sheetView tabSelected="1" workbookViewId="0">
      <selection activeCell="G21" sqref="G21"/>
    </sheetView>
  </sheetViews>
  <sheetFormatPr defaultColWidth="8.88888888888889" defaultRowHeight="14.4"/>
  <sheetData>
    <row r="3" spans="2:17">
      <c r="D3" t="s">
        <v>0</v>
      </c>
      <c r="E3">
        <v>2.1</v>
      </c>
    </row>
    <row r="4" spans="2:17">
      <c r="D4" t="s">
        <v>1</v>
      </c>
      <c r="E4">
        <v>-2.9</v>
      </c>
    </row>
    <row r="5" spans="2:17">
      <c r="D5" t="s">
        <v>2</v>
      </c>
      <c r="E5">
        <v>-5.9</v>
      </c>
    </row>
    <row r="10" spans="2:17">
      <c r="C10" s="26" t="s">
        <v>3</v>
      </c>
      <c r="D10" s="27" t="s">
        <v>4</v>
      </c>
      <c r="E10" t="s">
        <v>5</v>
      </c>
      <c r="F10" t="s">
        <v>6</v>
      </c>
      <c r="G10" t="s">
        <v>7</v>
      </c>
      <c r="H10" s="27" t="s">
        <v>8</v>
      </c>
    </row>
    <row r="11" spans="2:17">
      <c r="B11" s="28">
        <v>1</v>
      </c>
      <c r="C11" s="29">
        <v>10.9</v>
      </c>
      <c r="D11" s="30">
        <v>11.1</v>
      </c>
      <c r="E11" s="28">
        <f>D11-C11</f>
        <v>0.199999999999999</v>
      </c>
      <c r="F11" s="28">
        <f>D11-2.1</f>
        <v>9</v>
      </c>
      <c r="G11" s="28">
        <f>D11+2.9</f>
        <v>14</v>
      </c>
      <c r="H11" s="30">
        <f>D11+5.9</f>
        <v>17</v>
      </c>
      <c r="I11" s="28">
        <f>-2.9+G11</f>
        <v>11.1</v>
      </c>
      <c r="J11" s="28">
        <f>-5.9+H11</f>
        <v>11.1</v>
      </c>
      <c r="K11" s="28"/>
      <c r="L11" s="28"/>
      <c r="M11" s="28"/>
      <c r="N11" s="28"/>
      <c r="O11" s="28"/>
      <c r="P11" s="28"/>
      <c r="Q11" s="28"/>
    </row>
    <row r="12" spans="2:17">
      <c r="B12">
        <v>1</v>
      </c>
      <c r="C12" s="26">
        <v>10.9</v>
      </c>
      <c r="D12" s="27">
        <v>21.4</v>
      </c>
      <c r="E12" s="28">
        <f t="shared" ref="E12:E17" si="0">D12-C12</f>
        <v>10.5</v>
      </c>
      <c r="F12" s="28">
        <f t="shared" ref="F12:F17" si="1">D12-2.1</f>
        <v>19.3</v>
      </c>
      <c r="G12" s="28">
        <f t="shared" ref="G12:G17" si="2">D12+2.9</f>
        <v>24.3</v>
      </c>
      <c r="H12" s="30">
        <f t="shared" ref="H12:H17" si="3">D12+5.9</f>
        <v>27.3</v>
      </c>
      <c r="I12" s="28">
        <f t="shared" ref="I12:I17" si="4">-2.9+G12</f>
        <v>21.4</v>
      </c>
      <c r="J12" s="28">
        <f t="shared" ref="J12:J17" si="5">-5.9+H12</f>
        <v>21.4</v>
      </c>
    </row>
    <row r="13" spans="2:17">
      <c r="B13">
        <v>2</v>
      </c>
      <c r="C13" s="26">
        <v>10.9</v>
      </c>
      <c r="D13" s="27">
        <v>24.9</v>
      </c>
      <c r="E13" s="28">
        <f t="shared" si="0"/>
        <v>14</v>
      </c>
      <c r="F13" s="28">
        <f t="shared" si="1"/>
        <v>22.8</v>
      </c>
      <c r="G13" s="28">
        <f t="shared" si="2"/>
        <v>27.8</v>
      </c>
      <c r="H13" s="30">
        <f t="shared" si="3"/>
        <v>30.8</v>
      </c>
      <c r="I13" s="28">
        <f t="shared" si="4"/>
        <v>24.9</v>
      </c>
      <c r="J13" s="28">
        <f t="shared" si="5"/>
        <v>24.9</v>
      </c>
    </row>
    <row r="14" spans="2:17">
      <c r="B14" s="28">
        <v>3</v>
      </c>
      <c r="C14" s="29">
        <v>10.9</v>
      </c>
      <c r="D14" s="30">
        <v>43.8</v>
      </c>
      <c r="E14" s="28">
        <f t="shared" si="0"/>
        <v>32.9</v>
      </c>
      <c r="F14" s="28">
        <f t="shared" si="1"/>
        <v>41.7</v>
      </c>
      <c r="G14" s="28">
        <f t="shared" si="2"/>
        <v>46.7</v>
      </c>
      <c r="H14" s="30">
        <f t="shared" si="3"/>
        <v>49.7</v>
      </c>
      <c r="I14" s="28">
        <f t="shared" si="4"/>
        <v>43.8</v>
      </c>
      <c r="J14" s="28">
        <f t="shared" si="5"/>
        <v>43.8</v>
      </c>
      <c r="K14" s="28"/>
      <c r="L14" s="28"/>
      <c r="M14" s="28"/>
      <c r="N14" s="28"/>
      <c r="O14" s="28"/>
      <c r="P14" s="28"/>
      <c r="Q14" s="28"/>
    </row>
    <row r="15" spans="2:17">
      <c r="B15">
        <v>1</v>
      </c>
      <c r="C15" s="26">
        <v>10.6</v>
      </c>
      <c r="D15" s="27">
        <v>10.7</v>
      </c>
      <c r="E15" s="28">
        <f t="shared" si="0"/>
        <v>0.0999999999999996</v>
      </c>
      <c r="F15" s="28">
        <f t="shared" si="1"/>
        <v>8.6</v>
      </c>
      <c r="G15" s="28">
        <f t="shared" si="2"/>
        <v>13.6</v>
      </c>
      <c r="H15" s="30">
        <f t="shared" si="3"/>
        <v>16.6</v>
      </c>
      <c r="I15" s="28">
        <f t="shared" si="4"/>
        <v>10.7</v>
      </c>
      <c r="J15" s="28">
        <f t="shared" si="5"/>
        <v>10.7</v>
      </c>
    </row>
    <row r="16" spans="2:17">
      <c r="B16">
        <v>2</v>
      </c>
      <c r="C16" s="26">
        <v>10.4</v>
      </c>
      <c r="D16" s="27">
        <v>10.3</v>
      </c>
      <c r="E16" s="28">
        <f t="shared" si="0"/>
        <v>-0.0999999999999996</v>
      </c>
      <c r="F16" s="28">
        <f t="shared" si="1"/>
        <v>8.2</v>
      </c>
      <c r="G16" s="28">
        <f t="shared" si="2"/>
        <v>13.2</v>
      </c>
      <c r="H16" s="30">
        <f t="shared" si="3"/>
        <v>16.2</v>
      </c>
      <c r="I16" s="28">
        <f t="shared" si="4"/>
        <v>10.3</v>
      </c>
      <c r="J16" s="28">
        <f t="shared" si="5"/>
        <v>10.3</v>
      </c>
    </row>
    <row r="17" spans="2:17">
      <c r="B17" s="28">
        <v>3</v>
      </c>
      <c r="C17" s="29">
        <v>10</v>
      </c>
      <c r="D17" s="30">
        <v>10</v>
      </c>
      <c r="E17" s="28">
        <f t="shared" si="0"/>
        <v>0</v>
      </c>
      <c r="F17" s="28">
        <f t="shared" si="1"/>
        <v>7.9</v>
      </c>
      <c r="G17" s="28">
        <f t="shared" si="2"/>
        <v>12.9</v>
      </c>
      <c r="H17" s="30">
        <f t="shared" si="3"/>
        <v>15.9</v>
      </c>
      <c r="I17" s="28">
        <f t="shared" si="4"/>
        <v>10</v>
      </c>
      <c r="J17" s="28">
        <f t="shared" si="5"/>
        <v>10</v>
      </c>
      <c r="K17" s="28"/>
      <c r="L17" s="28"/>
      <c r="M17" s="28"/>
      <c r="N17" s="28"/>
      <c r="O17" s="28"/>
      <c r="P17" s="28"/>
      <c r="Q17" s="28"/>
    </row>
    <row r="19" spans="2:17">
      <c r="E19" t="s">
        <v>9</v>
      </c>
      <c r="F19">
        <v>-2.9</v>
      </c>
    </row>
    <row r="20" spans="2:17">
      <c r="E20" t="s">
        <v>10</v>
      </c>
      <c r="F20">
        <v>-5.9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J12" sqref="J12"/>
    </sheetView>
  </sheetViews>
  <sheetFormatPr defaultColWidth="8.88888888888889" defaultRowHeight="14.4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M53"/>
  <sheetViews>
    <sheetView zoomScale="85" zoomScaleNormal="85" workbookViewId="0">
      <selection activeCell="J23" sqref="J23"/>
    </sheetView>
  </sheetViews>
  <sheetFormatPr defaultColWidth="9" defaultRowHeight="14.4"/>
  <cols>
    <col min="4" max="4" width="17.25" customWidth="1"/>
    <col min="5" max="5" width="14.4444444444444" customWidth="1"/>
    <col min="6" max="6" width="12.8888888888889"/>
    <col min="7" max="7" width="17.8888888888889" customWidth="1"/>
    <col min="8" max="9" width="12.8888888888889"/>
    <col min="10" max="10" width="25.6203703703704" customWidth="1"/>
    <col min="11" max="11" width="20.787037037037" customWidth="1"/>
    <col min="12" max="12" width="21.1759259259259" customWidth="1"/>
    <col min="13" max="13" width="26.7962962962963" customWidth="1"/>
  </cols>
  <sheetData>
    <row r="2" spans="1:13">
      <c r="A2" s="13" t="s">
        <v>11</v>
      </c>
      <c r="B2" s="14" t="s">
        <v>12</v>
      </c>
      <c r="C2" s="15" t="s">
        <v>13</v>
      </c>
      <c r="D2" s="15"/>
      <c r="E2" s="15" t="s">
        <v>14</v>
      </c>
      <c r="F2" s="15"/>
      <c r="G2" s="15" t="s">
        <v>15</v>
      </c>
      <c r="H2" s="15"/>
      <c r="I2" s="15" t="s">
        <v>16</v>
      </c>
    </row>
    <row r="3" spans="1:13">
      <c r="A3" s="13"/>
      <c r="B3" s="14"/>
      <c r="C3" s="15">
        <v>1</v>
      </c>
      <c r="D3" s="15" t="s">
        <v>17</v>
      </c>
      <c r="E3" s="15">
        <v>500</v>
      </c>
      <c r="F3" s="15" t="s">
        <v>18</v>
      </c>
      <c r="G3" s="15">
        <v>10.74</v>
      </c>
      <c r="H3" s="15" t="s">
        <v>19</v>
      </c>
      <c r="I3" s="15">
        <f>E3/G3</f>
        <v>46.5549348230912</v>
      </c>
    </row>
    <row r="4" spans="1:13">
      <c r="A4" s="13"/>
      <c r="B4" s="14"/>
      <c r="C4" s="15">
        <v>2</v>
      </c>
      <c r="D4" s="15" t="s">
        <v>20</v>
      </c>
      <c r="E4" s="15">
        <v>500</v>
      </c>
      <c r="F4" s="15" t="s">
        <v>21</v>
      </c>
      <c r="G4" s="15">
        <v>9.32</v>
      </c>
      <c r="H4" s="15" t="s">
        <v>22</v>
      </c>
      <c r="I4" s="15">
        <f>E4/G4</f>
        <v>53.6480686695279</v>
      </c>
    </row>
    <row r="5" spans="1:13">
      <c r="A5" s="13"/>
      <c r="B5" s="14"/>
      <c r="C5" s="15">
        <v>3</v>
      </c>
      <c r="D5" s="15" t="s">
        <v>23</v>
      </c>
      <c r="E5" s="15">
        <v>500</v>
      </c>
      <c r="F5" s="15" t="s">
        <v>24</v>
      </c>
      <c r="G5" s="15">
        <v>5.21</v>
      </c>
      <c r="H5" s="15" t="s">
        <v>25</v>
      </c>
      <c r="I5" s="15">
        <f>E5/G5</f>
        <v>95.9692898272553</v>
      </c>
    </row>
    <row r="6" spans="1:13">
      <c r="A6" s="13"/>
    </row>
    <row r="7" spans="1:13">
      <c r="A7" s="13"/>
    </row>
    <row r="8" spans="1:13">
      <c r="A8" s="13"/>
    </row>
    <row r="9" spans="1:13">
      <c r="A9" s="13"/>
      <c r="B9" s="16" t="s">
        <v>26</v>
      </c>
      <c r="C9" s="15"/>
      <c r="D9" s="15"/>
      <c r="E9" s="15" t="s">
        <v>27</v>
      </c>
      <c r="F9" s="15"/>
      <c r="G9" s="15" t="s">
        <v>28</v>
      </c>
    </row>
    <row r="10" spans="1:13">
      <c r="A10" s="13"/>
      <c r="B10" s="17"/>
      <c r="C10" s="15" t="s">
        <v>29</v>
      </c>
      <c r="D10" s="15" t="s">
        <v>30</v>
      </c>
      <c r="E10" s="15">
        <v>0.8</v>
      </c>
      <c r="F10" s="15" t="s">
        <v>31</v>
      </c>
      <c r="G10" s="15">
        <f>3.14*E10*E10/4</f>
        <v>0.5024</v>
      </c>
    </row>
    <row r="11" spans="1:13">
      <c r="A11" s="13"/>
      <c r="B11" s="18"/>
      <c r="C11" s="15" t="s">
        <v>32</v>
      </c>
      <c r="D11" s="15" t="s">
        <v>30</v>
      </c>
      <c r="E11" s="15">
        <v>1.4</v>
      </c>
      <c r="F11" s="15" t="s">
        <v>33</v>
      </c>
      <c r="G11" s="15">
        <f>3.14*E11*E11/4</f>
        <v>1.5386</v>
      </c>
    </row>
    <row r="12" spans="1:13">
      <c r="A12" s="13"/>
    </row>
    <row r="13" spans="1:13">
      <c r="A13" s="13"/>
    </row>
    <row r="14" spans="1:13">
      <c r="A14" s="13"/>
    </row>
    <row r="15" spans="1:13">
      <c r="A15" s="13"/>
      <c r="B15" s="19" t="s">
        <v>11</v>
      </c>
      <c r="C15" s="15" t="s">
        <v>13</v>
      </c>
      <c r="D15" s="15" t="s">
        <v>34</v>
      </c>
      <c r="E15" s="15" t="s">
        <v>31</v>
      </c>
      <c r="F15" s="15" t="s">
        <v>35</v>
      </c>
      <c r="G15" s="15" t="s">
        <v>36</v>
      </c>
      <c r="H15" s="15" t="s">
        <v>33</v>
      </c>
      <c r="I15" s="15" t="s">
        <v>37</v>
      </c>
      <c r="J15" s="15" t="s">
        <v>38</v>
      </c>
      <c r="K15" s="15" t="s">
        <v>39</v>
      </c>
      <c r="L15" s="15" t="s">
        <v>40</v>
      </c>
      <c r="M15" s="15" t="s">
        <v>41</v>
      </c>
    </row>
    <row r="16" spans="1:13">
      <c r="A16" s="13"/>
      <c r="B16" s="19"/>
      <c r="C16" s="15">
        <v>1</v>
      </c>
      <c r="D16" s="15">
        <f>I3</f>
        <v>46.5549348230912</v>
      </c>
      <c r="E16" s="15">
        <f>G10</f>
        <v>0.5024</v>
      </c>
      <c r="F16" s="15">
        <f>D16/E16</f>
        <v>92.6650772752612</v>
      </c>
      <c r="G16" s="15">
        <f>F16^2/19.6</f>
        <v>438.102885021945</v>
      </c>
      <c r="H16" s="15">
        <f>G11</f>
        <v>1.5386</v>
      </c>
      <c r="I16" s="15">
        <f>D16/H16</f>
        <v>30.2579844164118</v>
      </c>
      <c r="J16" s="15">
        <f>0.01*I16^2/19.6</f>
        <v>0.467115112726439</v>
      </c>
      <c r="K16" s="15">
        <v>4.90625</v>
      </c>
      <c r="L16" s="15">
        <f>D16/K16</f>
        <v>9.48890391298674</v>
      </c>
      <c r="M16" s="15">
        <f>0.01*L16^2/19.6</f>
        <v>0.0459384170764771</v>
      </c>
    </row>
    <row r="17" spans="1:13">
      <c r="A17" s="13"/>
      <c r="B17" s="19"/>
      <c r="C17" s="15">
        <v>2</v>
      </c>
      <c r="D17" s="15">
        <f>I4</f>
        <v>53.6480686695279</v>
      </c>
      <c r="E17" s="15">
        <f>G10</f>
        <v>0.5024</v>
      </c>
      <c r="F17" s="15">
        <f>D17/E17</f>
        <v>106.783576173423</v>
      </c>
      <c r="G17" s="15">
        <f>0.01*F17^2/19.6</f>
        <v>5.81772047978842</v>
      </c>
      <c r="H17" s="15">
        <f>G11</f>
        <v>1.5386</v>
      </c>
      <c r="I17" s="15">
        <f>D17/H17</f>
        <v>34.8681065056076</v>
      </c>
      <c r="J17" s="15">
        <f>0.01*I17^2/19.6</f>
        <v>0.620298393513468</v>
      </c>
      <c r="K17" s="15">
        <v>4.90625</v>
      </c>
      <c r="L17" s="15">
        <f>D17/K17</f>
        <v>10.9346382001586</v>
      </c>
      <c r="M17" s="15">
        <f t="shared" ref="M16:M18" si="0">0.01*L17^2/19.6</f>
        <v>0.0610032206981463</v>
      </c>
    </row>
    <row r="18" spans="1:13">
      <c r="A18" s="13"/>
      <c r="B18" s="19"/>
      <c r="C18" s="15">
        <v>3</v>
      </c>
      <c r="D18" s="15">
        <f>I5</f>
        <v>95.9692898272553</v>
      </c>
      <c r="E18" s="15">
        <f>G10</f>
        <v>0.5024</v>
      </c>
      <c r="F18" s="15">
        <f>D18/E18</f>
        <v>191.021675611575</v>
      </c>
      <c r="G18" s="15">
        <f>0.01*F18^2/19.6</f>
        <v>18.6169798742111</v>
      </c>
      <c r="H18" s="15">
        <f>G11</f>
        <v>1.5386</v>
      </c>
      <c r="I18" s="15">
        <f>D18/H18</f>
        <v>62.3744246894939</v>
      </c>
      <c r="J18" s="15">
        <f>0.01*I18^2/19.6</f>
        <v>1.98498410987007</v>
      </c>
      <c r="K18" s="15">
        <v>4.90625</v>
      </c>
      <c r="L18" s="15">
        <f>D18/K18</f>
        <v>19.5606195826253</v>
      </c>
      <c r="M18" s="15">
        <f t="shared" si="0"/>
        <v>0.195213182885808</v>
      </c>
    </row>
    <row r="23" spans="1:13">
      <c r="A23" s="20" t="s">
        <v>42</v>
      </c>
      <c r="B23" s="21" t="s">
        <v>26</v>
      </c>
      <c r="C23" s="22"/>
      <c r="D23" s="22" t="s">
        <v>43</v>
      </c>
      <c r="E23" s="22" t="s">
        <v>44</v>
      </c>
      <c r="F23" s="22" t="s">
        <v>45</v>
      </c>
    </row>
    <row r="24" spans="1:13">
      <c r="A24" s="20"/>
      <c r="B24" s="21"/>
      <c r="C24" s="1" t="s">
        <v>46</v>
      </c>
      <c r="D24" s="1" t="s">
        <v>47</v>
      </c>
      <c r="E24" s="1">
        <v>1.4</v>
      </c>
      <c r="F24" s="1">
        <f>3.14*E24^2/4</f>
        <v>1.5386</v>
      </c>
    </row>
    <row r="25" spans="1:13">
      <c r="A25" s="20"/>
      <c r="B25" s="21"/>
      <c r="C25" s="23" t="s">
        <v>48</v>
      </c>
      <c r="D25" s="23">
        <v>14</v>
      </c>
      <c r="E25" s="23">
        <v>0.8</v>
      </c>
      <c r="F25" s="23">
        <f>3.14*E25^2/4</f>
        <v>0.5024</v>
      </c>
    </row>
    <row r="26" spans="1:13">
      <c r="A26" s="20"/>
      <c r="B26" s="21"/>
      <c r="C26" s="24" t="s">
        <v>49</v>
      </c>
      <c r="D26" s="6">
        <v>20</v>
      </c>
      <c r="E26" s="6">
        <v>2.5</v>
      </c>
      <c r="F26" s="6">
        <f t="shared" ref="F24:F26" si="1">3.14*E26^2/4</f>
        <v>4.90625</v>
      </c>
    </row>
    <row r="27" spans="1:13">
      <c r="A27" s="20"/>
    </row>
    <row r="28" spans="1:13">
      <c r="A28" s="20"/>
    </row>
    <row r="29" spans="1:13">
      <c r="A29" s="20"/>
    </row>
    <row r="30" spans="1:13">
      <c r="A30" s="20"/>
      <c r="B30" s="21" t="s">
        <v>50</v>
      </c>
      <c r="C30" s="22" t="s">
        <v>13</v>
      </c>
      <c r="D30" s="22"/>
      <c r="E30" s="22" t="s">
        <v>34</v>
      </c>
      <c r="F30" s="22" t="s">
        <v>51</v>
      </c>
      <c r="G30" s="22" t="s">
        <v>52</v>
      </c>
    </row>
    <row r="31" spans="1:13">
      <c r="A31" s="20"/>
      <c r="B31" s="21"/>
      <c r="C31" s="20">
        <v>1</v>
      </c>
      <c r="D31" s="1" t="s">
        <v>46</v>
      </c>
      <c r="E31" s="20">
        <f>I3</f>
        <v>46.5549348230912</v>
      </c>
      <c r="F31" s="1">
        <f>E31/F24</f>
        <v>30.2579844164118</v>
      </c>
      <c r="G31" s="1">
        <f>0.01*F31^2/19.6</f>
        <v>0.467115112726439</v>
      </c>
    </row>
    <row r="32" spans="1:13">
      <c r="A32" s="20"/>
      <c r="B32" s="21"/>
      <c r="C32" s="20"/>
      <c r="D32" s="23" t="s">
        <v>48</v>
      </c>
      <c r="E32" s="20"/>
      <c r="F32" s="23">
        <f>E31/F25</f>
        <v>92.6650772752611</v>
      </c>
      <c r="G32" s="23">
        <f t="shared" ref="G32:G39" si="2">0.01*F32^2/19.6</f>
        <v>4.38102885021945</v>
      </c>
    </row>
    <row r="33" spans="1:10">
      <c r="A33" s="20"/>
      <c r="B33" s="21"/>
      <c r="C33" s="20"/>
      <c r="D33" s="24" t="s">
        <v>49</v>
      </c>
      <c r="E33" s="20"/>
      <c r="F33" s="24">
        <f>E31/F26</f>
        <v>9.48890391298674</v>
      </c>
      <c r="G33" s="24">
        <f t="shared" si="2"/>
        <v>0.0459384170764771</v>
      </c>
    </row>
    <row r="34" spans="1:10">
      <c r="A34" s="20"/>
      <c r="B34" s="21"/>
      <c r="C34" s="20">
        <v>2</v>
      </c>
      <c r="D34" s="1" t="s">
        <v>46</v>
      </c>
      <c r="E34" s="20">
        <f>I4</f>
        <v>53.6480686695279</v>
      </c>
      <c r="F34" s="1">
        <f>E34/F24</f>
        <v>34.8681065056076</v>
      </c>
      <c r="G34" s="1">
        <f t="shared" si="2"/>
        <v>0.620298393513468</v>
      </c>
    </row>
    <row r="35" spans="1:10">
      <c r="A35" s="20"/>
      <c r="B35" s="21"/>
      <c r="C35" s="20"/>
      <c r="D35" s="23" t="s">
        <v>48</v>
      </c>
      <c r="E35" s="20"/>
      <c r="F35" s="23">
        <f>E34/F25</f>
        <v>106.783576173423</v>
      </c>
      <c r="G35" s="23">
        <f t="shared" si="2"/>
        <v>5.81772047978842</v>
      </c>
    </row>
    <row r="36" spans="1:10">
      <c r="A36" s="20"/>
      <c r="B36" s="21"/>
      <c r="C36" s="20"/>
      <c r="D36" s="24" t="s">
        <v>49</v>
      </c>
      <c r="E36" s="20"/>
      <c r="F36" s="24">
        <f>E34/F26</f>
        <v>10.9346382001586</v>
      </c>
      <c r="G36" s="24">
        <f t="shared" si="2"/>
        <v>0.0610032206981463</v>
      </c>
    </row>
    <row r="37" spans="1:10">
      <c r="A37" s="20"/>
      <c r="B37" s="21"/>
      <c r="C37" s="20">
        <v>3</v>
      </c>
      <c r="D37" s="1" t="s">
        <v>46</v>
      </c>
      <c r="E37" s="20">
        <f>I5</f>
        <v>95.9692898272553</v>
      </c>
      <c r="F37" s="1">
        <f>E37/F24</f>
        <v>62.3744246894939</v>
      </c>
      <c r="G37" s="1">
        <f t="shared" si="2"/>
        <v>1.98498410987007</v>
      </c>
    </row>
    <row r="38" spans="1:10">
      <c r="A38" s="20"/>
      <c r="B38" s="21"/>
      <c r="C38" s="20"/>
      <c r="D38" s="23" t="s">
        <v>48</v>
      </c>
      <c r="E38" s="20"/>
      <c r="F38" s="23">
        <f>E37/F25</f>
        <v>191.021675611575</v>
      </c>
      <c r="G38" s="23">
        <f t="shared" si="2"/>
        <v>18.6169798742111</v>
      </c>
    </row>
    <row r="39" spans="1:10">
      <c r="A39" s="20"/>
      <c r="B39" s="21"/>
      <c r="C39" s="20"/>
      <c r="D39" s="24" t="s">
        <v>49</v>
      </c>
      <c r="E39" s="20"/>
      <c r="F39" s="24">
        <f>E37/F26</f>
        <v>19.5606195826253</v>
      </c>
      <c r="G39" s="24">
        <f t="shared" si="2"/>
        <v>0.195213182885808</v>
      </c>
    </row>
    <row r="40" spans="1:10">
      <c r="A40" s="20"/>
    </row>
    <row r="41" spans="1:10">
      <c r="A41" s="20"/>
    </row>
    <row r="42" spans="1:10">
      <c r="A42" s="20"/>
    </row>
    <row r="43" spans="1:10">
      <c r="A43" s="20"/>
      <c r="B43" s="21" t="s">
        <v>53</v>
      </c>
      <c r="C43" s="22" t="s">
        <v>13</v>
      </c>
      <c r="D43" s="1">
        <v>12</v>
      </c>
      <c r="E43" s="1">
        <v>13</v>
      </c>
      <c r="F43" s="23">
        <v>14</v>
      </c>
      <c r="G43" s="1">
        <v>16</v>
      </c>
      <c r="H43" s="1">
        <v>18</v>
      </c>
      <c r="I43" s="24">
        <v>20</v>
      </c>
      <c r="J43" s="1">
        <v>22</v>
      </c>
    </row>
    <row r="44" spans="1:10">
      <c r="A44" s="20"/>
      <c r="B44" s="21"/>
      <c r="C44" s="22">
        <v>1</v>
      </c>
      <c r="D44" s="22">
        <v>64.6</v>
      </c>
      <c r="E44" s="22">
        <v>64.5</v>
      </c>
      <c r="F44" s="22">
        <v>60.6</v>
      </c>
      <c r="G44" s="22">
        <v>61.9</v>
      </c>
      <c r="H44" s="22">
        <v>61.4</v>
      </c>
      <c r="I44" s="22">
        <v>59.9</v>
      </c>
      <c r="J44" s="22">
        <v>61</v>
      </c>
    </row>
    <row r="45" spans="1:10">
      <c r="A45" s="20"/>
      <c r="B45" s="21"/>
      <c r="C45" s="22">
        <v>2</v>
      </c>
      <c r="D45" s="22">
        <v>64.4</v>
      </c>
      <c r="E45" s="22">
        <v>64.2</v>
      </c>
      <c r="F45" s="22">
        <v>58.2</v>
      </c>
      <c r="G45" s="22">
        <v>60.2</v>
      </c>
      <c r="H45" s="22">
        <v>59.4</v>
      </c>
      <c r="I45" s="22">
        <v>59.7</v>
      </c>
      <c r="J45" s="22">
        <v>58.7</v>
      </c>
    </row>
    <row r="46" spans="1:10">
      <c r="A46" s="20"/>
      <c r="B46" s="21"/>
      <c r="C46" s="22">
        <v>3</v>
      </c>
      <c r="D46" s="22">
        <v>61.6</v>
      </c>
      <c r="E46" s="22">
        <v>61.2</v>
      </c>
      <c r="F46" s="22">
        <v>37.4</v>
      </c>
      <c r="G46" s="22">
        <v>47.6</v>
      </c>
      <c r="H46" s="22">
        <v>44.7</v>
      </c>
      <c r="I46" s="22">
        <v>45.2</v>
      </c>
      <c r="J46" s="22">
        <v>42.1</v>
      </c>
    </row>
    <row r="47" spans="1:10">
      <c r="A47" s="20"/>
    </row>
    <row r="48" spans="1:10">
      <c r="A48" s="20"/>
    </row>
    <row r="49" spans="1:12">
      <c r="A49" s="20"/>
    </row>
    <row r="50" spans="1:12">
      <c r="A50" s="20"/>
      <c r="B50" s="19" t="s">
        <v>42</v>
      </c>
      <c r="C50" s="25" t="s">
        <v>13</v>
      </c>
      <c r="D50" s="1" t="s">
        <v>54</v>
      </c>
      <c r="E50" s="1" t="s">
        <v>55</v>
      </c>
      <c r="F50" s="23" t="s">
        <v>56</v>
      </c>
      <c r="G50" s="1" t="s">
        <v>57</v>
      </c>
      <c r="H50" s="1" t="s">
        <v>58</v>
      </c>
      <c r="I50" s="24" t="s">
        <v>59</v>
      </c>
      <c r="J50" s="1" t="s">
        <v>60</v>
      </c>
      <c r="K50" s="20" t="s">
        <v>61</v>
      </c>
      <c r="L50" s="20"/>
    </row>
    <row r="51" spans="1:12">
      <c r="A51" s="20"/>
      <c r="B51" s="19"/>
      <c r="C51" s="22">
        <v>1</v>
      </c>
      <c r="D51" s="22">
        <f>D44+G31</f>
        <v>65.0671151127264</v>
      </c>
      <c r="E51" s="22">
        <f>E44+G31</f>
        <v>64.9671151127264</v>
      </c>
      <c r="F51" s="22">
        <f>F44+G32</f>
        <v>64.9810288502194</v>
      </c>
      <c r="G51" s="22">
        <f>G44+G31</f>
        <v>62.3671151127264</v>
      </c>
      <c r="H51" s="22">
        <f>H44+G31</f>
        <v>61.8671151127264</v>
      </c>
      <c r="I51" s="22">
        <f>I44+G33</f>
        <v>59.9459384170765</v>
      </c>
      <c r="J51" s="22">
        <f>J44+G31</f>
        <v>61.4671151127264</v>
      </c>
      <c r="K51" s="20">
        <f>I3</f>
        <v>46.5549348230912</v>
      </c>
      <c r="L51" s="20"/>
    </row>
    <row r="52" spans="1:12">
      <c r="A52" s="20"/>
      <c r="B52" s="19"/>
      <c r="C52" s="22">
        <v>2</v>
      </c>
      <c r="D52" s="22">
        <f>D45+G34</f>
        <v>65.0202983935135</v>
      </c>
      <c r="E52" s="22">
        <f>E45+G34</f>
        <v>64.8202983935135</v>
      </c>
      <c r="F52" s="22">
        <f>F45+G35</f>
        <v>64.0177204797884</v>
      </c>
      <c r="G52" s="22">
        <f>G45+G34</f>
        <v>60.8202983935135</v>
      </c>
      <c r="H52" s="22">
        <f>H45+G34</f>
        <v>60.0202983935135</v>
      </c>
      <c r="I52" s="22">
        <f>I45+G36</f>
        <v>59.7610032206982</v>
      </c>
      <c r="J52" s="22">
        <f>J45+G34</f>
        <v>59.3202983935135</v>
      </c>
      <c r="K52" s="20">
        <f>I4</f>
        <v>53.6480686695279</v>
      </c>
      <c r="L52" s="20"/>
    </row>
    <row r="53" spans="1:12">
      <c r="A53" s="20"/>
      <c r="B53" s="19"/>
      <c r="C53" s="22">
        <v>3</v>
      </c>
      <c r="D53" s="22">
        <f>D46+G37</f>
        <v>63.5849841098701</v>
      </c>
      <c r="E53" s="22">
        <f>E46+G37</f>
        <v>63.1849841098701</v>
      </c>
      <c r="F53" s="22">
        <f>F46+G38</f>
        <v>56.0169798742111</v>
      </c>
      <c r="G53" s="22">
        <f>G46+G37</f>
        <v>49.5849841098701</v>
      </c>
      <c r="H53" s="22">
        <f>H46+G37</f>
        <v>46.6849841098701</v>
      </c>
      <c r="I53" s="22">
        <f>I46+G39</f>
        <v>45.3952131828858</v>
      </c>
      <c r="J53" s="22">
        <f>J46+G37</f>
        <v>44.0849841098701</v>
      </c>
      <c r="K53" s="20">
        <f>I5</f>
        <v>95.9692898272553</v>
      </c>
      <c r="L53" s="20"/>
    </row>
  </sheetData>
  <mergeCells count="19">
    <mergeCell ref="K50:L50"/>
    <mergeCell ref="K51:L51"/>
    <mergeCell ref="K52:L52"/>
    <mergeCell ref="K53:L53"/>
    <mergeCell ref="A2:A18"/>
    <mergeCell ref="A23:A53"/>
    <mergeCell ref="B2:B5"/>
    <mergeCell ref="B9:B11"/>
    <mergeCell ref="B15:B18"/>
    <mergeCell ref="B23:B26"/>
    <mergeCell ref="B30:B39"/>
    <mergeCell ref="B43:B46"/>
    <mergeCell ref="B50:B53"/>
    <mergeCell ref="C31:C33"/>
    <mergeCell ref="C34:C36"/>
    <mergeCell ref="C37:C39"/>
    <mergeCell ref="E31:E33"/>
    <mergeCell ref="E34:E36"/>
    <mergeCell ref="E37:E39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42"/>
  <sheetViews>
    <sheetView zoomScale="70" zoomScaleNormal="70" workbookViewId="0">
      <selection activeCell="B43" sqref="B43"/>
    </sheetView>
  </sheetViews>
  <sheetFormatPr defaultColWidth="9" defaultRowHeight="14.4"/>
  <cols>
    <col min="4" max="5" width="12.8888888888889"/>
    <col min="6" max="6" width="14.1111111111111"/>
    <col min="7" max="7" width="12.8888888888889"/>
    <col min="8" max="8" width="13.2037037037037" customWidth="1"/>
    <col min="9" max="9" width="21.4351851851852" customWidth="1"/>
    <col min="10" max="12" width="12.8888888888889"/>
    <col min="13" max="13" width="34.3703703703704" customWidth="1"/>
    <col min="14" max="16" width="12.8888888888889"/>
  </cols>
  <sheetData>
    <row r="2" spans="2:14">
      <c r="C2" t="s">
        <v>62</v>
      </c>
      <c r="E2" t="s">
        <v>26</v>
      </c>
    </row>
    <row r="3" spans="2:14">
      <c r="C3" s="12" t="s">
        <v>30</v>
      </c>
      <c r="D3" s="12">
        <v>1.4</v>
      </c>
      <c r="E3" s="12" t="s">
        <v>33</v>
      </c>
      <c r="F3" s="12">
        <f>3.14*D3*D3/4</f>
        <v>1.5386</v>
      </c>
    </row>
    <row r="4" spans="2:14">
      <c r="C4" t="s">
        <v>63</v>
      </c>
      <c r="D4">
        <v>80</v>
      </c>
      <c r="E4" t="s">
        <v>64</v>
      </c>
    </row>
    <row r="5" spans="2:14">
      <c r="C5" t="s">
        <v>65</v>
      </c>
      <c r="D5">
        <v>22.8</v>
      </c>
      <c r="E5" t="s">
        <v>66</v>
      </c>
    </row>
    <row r="14" spans="2:14">
      <c r="B14" s="7" t="s">
        <v>67</v>
      </c>
      <c r="C14" t="s">
        <v>13</v>
      </c>
      <c r="D14" t="s">
        <v>68</v>
      </c>
      <c r="E14" t="s">
        <v>69</v>
      </c>
      <c r="F14" t="s">
        <v>70</v>
      </c>
      <c r="G14" t="s">
        <v>71</v>
      </c>
      <c r="H14" t="s">
        <v>72</v>
      </c>
      <c r="I14" t="s">
        <v>73</v>
      </c>
      <c r="J14" t="s">
        <v>74</v>
      </c>
      <c r="K14" t="s">
        <v>75</v>
      </c>
      <c r="L14" t="s">
        <v>76</v>
      </c>
      <c r="M14" t="s">
        <v>77</v>
      </c>
      <c r="N14" t="s">
        <v>78</v>
      </c>
    </row>
    <row r="15" spans="2:14">
      <c r="B15" s="3"/>
      <c r="C15">
        <v>1</v>
      </c>
      <c r="D15">
        <v>1000</v>
      </c>
      <c r="E15">
        <v>18.83</v>
      </c>
      <c r="F15">
        <f>D15/E15</f>
        <v>53.1067445565587</v>
      </c>
      <c r="G15">
        <f>F15/1.5386</f>
        <v>34.5162774967884</v>
      </c>
      <c r="H15">
        <f>9.425*0.001</f>
        <v>0.009425</v>
      </c>
      <c r="I15">
        <f>G15*1.4/H15</f>
        <v>5127.0863125203</v>
      </c>
      <c r="J15">
        <v>64.3</v>
      </c>
      <c r="K15">
        <v>63.6</v>
      </c>
      <c r="L15">
        <f>J15-K15</f>
        <v>0.699999999999996</v>
      </c>
      <c r="M15">
        <f>(3.14*3.134*980/8)*(1.4^5/80)*(L15/(F15^2))</f>
        <v>0.0201147018835561</v>
      </c>
      <c r="N15">
        <f>64/I15</f>
        <v>0.012482723344</v>
      </c>
    </row>
    <row r="16" spans="2:14">
      <c r="B16" s="3"/>
      <c r="C16">
        <v>2</v>
      </c>
      <c r="D16">
        <v>1000</v>
      </c>
      <c r="E16">
        <v>14.84</v>
      </c>
      <c r="F16">
        <f t="shared" ref="F16:F26" si="0">D16/E16</f>
        <v>67.3854447439353</v>
      </c>
      <c r="G16">
        <f t="shared" ref="G16:G26" si="1">F16/1.5386</f>
        <v>43.7965973897929</v>
      </c>
      <c r="H16">
        <f>9.425*0.001</f>
        <v>0.009425</v>
      </c>
      <c r="I16">
        <f t="shared" ref="I16:I26" si="2">G16*1.4/H16</f>
        <v>6505.5953682451</v>
      </c>
      <c r="J16">
        <v>63.4</v>
      </c>
      <c r="K16">
        <v>62.4</v>
      </c>
      <c r="L16">
        <f t="shared" ref="L16:L26" si="3">J16-K16</f>
        <v>1</v>
      </c>
      <c r="M16">
        <f t="shared" ref="M16:M26" si="4">(3.14*3.134*980/8)*(1.4^5/80)*(L16/(F16^2))</f>
        <v>0.0178477191039086</v>
      </c>
      <c r="N16">
        <f t="shared" ref="N16:N26" si="5">64/I16</f>
        <v>0.00983768531199999</v>
      </c>
    </row>
    <row r="17" spans="2:14">
      <c r="B17" s="3"/>
      <c r="C17">
        <v>3</v>
      </c>
      <c r="D17">
        <v>1000</v>
      </c>
      <c r="E17">
        <v>13.46</v>
      </c>
      <c r="F17">
        <f t="shared" si="0"/>
        <v>74.2942050520059</v>
      </c>
      <c r="G17">
        <f t="shared" si="1"/>
        <v>48.2868874639321</v>
      </c>
      <c r="H17">
        <f t="shared" ref="H17:H26" si="6">9.425*0.001</f>
        <v>0.009425</v>
      </c>
      <c r="I17">
        <f t="shared" si="2"/>
        <v>7172.58805830291</v>
      </c>
      <c r="J17">
        <v>62.8</v>
      </c>
      <c r="K17">
        <v>61.4</v>
      </c>
      <c r="L17">
        <f t="shared" si="3"/>
        <v>1.4</v>
      </c>
      <c r="M17">
        <f t="shared" si="4"/>
        <v>0.0205557381020552</v>
      </c>
      <c r="N17">
        <f t="shared" si="5"/>
        <v>0.008922860128</v>
      </c>
    </row>
    <row r="18" spans="2:14">
      <c r="B18" s="3"/>
      <c r="C18">
        <v>4</v>
      </c>
      <c r="D18">
        <v>1000</v>
      </c>
      <c r="E18">
        <v>12.09</v>
      </c>
      <c r="F18">
        <f t="shared" si="0"/>
        <v>82.7129859387924</v>
      </c>
      <c r="G18">
        <f t="shared" si="1"/>
        <v>53.7586025859823</v>
      </c>
      <c r="H18">
        <f t="shared" si="6"/>
        <v>0.009425</v>
      </c>
      <c r="I18">
        <f t="shared" si="2"/>
        <v>7985.3627183422</v>
      </c>
      <c r="J18">
        <v>62.2</v>
      </c>
      <c r="K18">
        <v>60.5</v>
      </c>
      <c r="L18">
        <f t="shared" si="3"/>
        <v>1.7</v>
      </c>
      <c r="M18">
        <f t="shared" si="4"/>
        <v>0.0201380049561833</v>
      </c>
      <c r="N18">
        <f t="shared" si="5"/>
        <v>0.008014664112</v>
      </c>
    </row>
    <row r="19" spans="2:14">
      <c r="B19" s="3"/>
      <c r="C19">
        <v>5</v>
      </c>
      <c r="D19">
        <v>1000</v>
      </c>
      <c r="E19">
        <v>11.02</v>
      </c>
      <c r="F19">
        <f t="shared" si="0"/>
        <v>90.7441016333938</v>
      </c>
      <c r="G19">
        <f t="shared" si="1"/>
        <v>58.9783580094851</v>
      </c>
      <c r="H19">
        <f t="shared" si="6"/>
        <v>0.009425</v>
      </c>
      <c r="I19">
        <f t="shared" si="2"/>
        <v>8760.71100406145</v>
      </c>
      <c r="J19">
        <v>61.4</v>
      </c>
      <c r="K19">
        <v>59.5</v>
      </c>
      <c r="L19">
        <f t="shared" si="3"/>
        <v>1.9</v>
      </c>
      <c r="M19">
        <f t="shared" si="4"/>
        <v>0.0186995738888938</v>
      </c>
      <c r="N19">
        <f t="shared" si="5"/>
        <v>0.00730534313600001</v>
      </c>
    </row>
    <row r="20" spans="2:14">
      <c r="B20" s="3"/>
      <c r="C20">
        <v>6</v>
      </c>
      <c r="D20">
        <v>1000</v>
      </c>
      <c r="E20">
        <v>9.77</v>
      </c>
      <c r="F20">
        <f t="shared" si="0"/>
        <v>102.354145342886</v>
      </c>
      <c r="G20">
        <f t="shared" si="1"/>
        <v>66.5242072942197</v>
      </c>
      <c r="H20">
        <f t="shared" si="6"/>
        <v>0.009425</v>
      </c>
      <c r="I20">
        <f t="shared" si="2"/>
        <v>9881.57986333237</v>
      </c>
      <c r="J20">
        <v>60.9</v>
      </c>
      <c r="K20">
        <v>58.8</v>
      </c>
      <c r="L20">
        <f t="shared" si="3"/>
        <v>2.1</v>
      </c>
      <c r="M20">
        <f t="shared" si="4"/>
        <v>0.0162451356626674</v>
      </c>
      <c r="N20">
        <f t="shared" si="5"/>
        <v>0.006476697136</v>
      </c>
    </row>
    <row r="21" spans="2:14">
      <c r="B21" s="3"/>
      <c r="C21">
        <v>7</v>
      </c>
      <c r="D21">
        <v>1000</v>
      </c>
      <c r="E21">
        <v>9.66</v>
      </c>
      <c r="F21">
        <f t="shared" si="0"/>
        <v>103.51966873706</v>
      </c>
      <c r="G21">
        <f t="shared" si="1"/>
        <v>67.2817293234499</v>
      </c>
      <c r="H21">
        <f t="shared" si="6"/>
        <v>0.009425</v>
      </c>
      <c r="I21">
        <f t="shared" si="2"/>
        <v>9994.10302947797</v>
      </c>
      <c r="J21">
        <v>60.6</v>
      </c>
      <c r="K21">
        <v>58.3</v>
      </c>
      <c r="L21">
        <f t="shared" si="3"/>
        <v>2.3</v>
      </c>
      <c r="M21">
        <f t="shared" si="4"/>
        <v>0.0173939016112078</v>
      </c>
      <c r="N21">
        <f t="shared" si="5"/>
        <v>0.006403776288</v>
      </c>
    </row>
    <row r="22" spans="2:14">
      <c r="B22" s="3"/>
      <c r="C22">
        <v>8</v>
      </c>
      <c r="D22">
        <v>1000</v>
      </c>
      <c r="E22">
        <v>9.59</v>
      </c>
      <c r="F22">
        <f t="shared" si="0"/>
        <v>104.275286757039</v>
      </c>
      <c r="G22">
        <f t="shared" si="1"/>
        <v>67.7728368367598</v>
      </c>
      <c r="H22">
        <f t="shared" si="6"/>
        <v>0.009425</v>
      </c>
      <c r="I22">
        <f t="shared" si="2"/>
        <v>10067.0526866274</v>
      </c>
      <c r="J22">
        <v>60.2</v>
      </c>
      <c r="K22">
        <v>57.7</v>
      </c>
      <c r="L22">
        <f t="shared" si="3"/>
        <v>2.5</v>
      </c>
      <c r="M22">
        <f t="shared" si="4"/>
        <v>0.0186334015586762</v>
      </c>
      <c r="N22">
        <f t="shared" si="5"/>
        <v>0.006357372112</v>
      </c>
    </row>
    <row r="23" spans="2:14">
      <c r="B23" s="3"/>
      <c r="C23">
        <v>9</v>
      </c>
      <c r="D23">
        <v>1000</v>
      </c>
      <c r="E23">
        <v>8.86</v>
      </c>
      <c r="F23">
        <f t="shared" si="0"/>
        <v>112.866817155756</v>
      </c>
      <c r="G23">
        <f t="shared" si="1"/>
        <v>73.3568290366282</v>
      </c>
      <c r="H23">
        <f t="shared" si="6"/>
        <v>0.009425</v>
      </c>
      <c r="I23">
        <f t="shared" si="2"/>
        <v>10896.5051088891</v>
      </c>
      <c r="J23">
        <v>59.4</v>
      </c>
      <c r="K23">
        <v>56.5</v>
      </c>
      <c r="L23">
        <f t="shared" si="3"/>
        <v>2.9</v>
      </c>
      <c r="M23">
        <f t="shared" si="4"/>
        <v>0.0184493199276135</v>
      </c>
      <c r="N23">
        <f t="shared" si="5"/>
        <v>0.005873442848</v>
      </c>
    </row>
    <row r="24" spans="2:14">
      <c r="B24" s="3"/>
      <c r="C24">
        <v>10</v>
      </c>
      <c r="D24">
        <v>1500</v>
      </c>
      <c r="E24">
        <v>12.21</v>
      </c>
      <c r="F24">
        <f t="shared" si="0"/>
        <v>122.850122850123</v>
      </c>
      <c r="G24">
        <f t="shared" si="1"/>
        <v>79.8453937671408</v>
      </c>
      <c r="H24">
        <f t="shared" si="6"/>
        <v>0.009425</v>
      </c>
      <c r="I24">
        <f t="shared" si="2"/>
        <v>11860.3237425992</v>
      </c>
      <c r="J24">
        <v>58.6</v>
      </c>
      <c r="K24">
        <v>55.5</v>
      </c>
      <c r="L24">
        <f t="shared" si="3"/>
        <v>3.1</v>
      </c>
      <c r="M24">
        <f t="shared" si="4"/>
        <v>0.0166465953962017</v>
      </c>
      <c r="N24">
        <f t="shared" si="5"/>
        <v>0.005396142752</v>
      </c>
    </row>
    <row r="25" spans="2:14">
      <c r="B25" s="3"/>
      <c r="C25">
        <v>11</v>
      </c>
      <c r="D25">
        <v>1500</v>
      </c>
      <c r="E25">
        <v>11.54</v>
      </c>
      <c r="F25">
        <f t="shared" si="0"/>
        <v>129.98266897747</v>
      </c>
      <c r="G25">
        <f t="shared" si="1"/>
        <v>84.4811315335173</v>
      </c>
      <c r="H25">
        <f t="shared" si="6"/>
        <v>0.009425</v>
      </c>
      <c r="I25">
        <f t="shared" si="2"/>
        <v>12548.9213948991</v>
      </c>
      <c r="J25">
        <v>57.8</v>
      </c>
      <c r="K25">
        <v>54.3</v>
      </c>
      <c r="L25">
        <f t="shared" si="3"/>
        <v>3.5</v>
      </c>
      <c r="M25">
        <f t="shared" si="4"/>
        <v>0.0167885065394824</v>
      </c>
      <c r="N25">
        <f t="shared" si="5"/>
        <v>0.00510003991466667</v>
      </c>
    </row>
    <row r="26" spans="2:14">
      <c r="B26" s="3"/>
      <c r="C26">
        <v>12</v>
      </c>
      <c r="D26">
        <v>1500</v>
      </c>
      <c r="E26">
        <v>10.01</v>
      </c>
      <c r="F26">
        <f t="shared" si="0"/>
        <v>149.85014985015</v>
      </c>
      <c r="G26">
        <f t="shared" si="1"/>
        <v>97.3938319577212</v>
      </c>
      <c r="H26">
        <f t="shared" si="6"/>
        <v>0.009425</v>
      </c>
      <c r="I26">
        <f t="shared" si="2"/>
        <v>14466.9883014122</v>
      </c>
      <c r="J26">
        <v>56.1</v>
      </c>
      <c r="K26">
        <v>52.1</v>
      </c>
      <c r="L26">
        <f t="shared" si="3"/>
        <v>4</v>
      </c>
      <c r="M26">
        <f t="shared" si="4"/>
        <v>0.0144364545688789</v>
      </c>
      <c r="N26">
        <f t="shared" si="5"/>
        <v>0.00442386477866667</v>
      </c>
    </row>
    <row r="30" spans="2:14">
      <c r="B30" s="7" t="s">
        <v>79</v>
      </c>
      <c r="D30" t="s">
        <v>80</v>
      </c>
      <c r="E30" t="s">
        <v>81</v>
      </c>
      <c r="F30" t="s">
        <v>82</v>
      </c>
      <c r="G30" t="s">
        <v>83</v>
      </c>
    </row>
    <row r="31" spans="2:14">
      <c r="B31" s="3"/>
      <c r="C31">
        <v>1</v>
      </c>
      <c r="D31">
        <f>LOG10(L15)</f>
        <v>-0.154901959985746</v>
      </c>
      <c r="E31">
        <f>LOG10(G15)</f>
        <v>1.53802395188161</v>
      </c>
      <c r="F31">
        <f>LOG10(M15)</f>
        <v>-1.69648639964683</v>
      </c>
      <c r="G31">
        <f>LOG10(I15)</f>
        <v>3.70987062868201</v>
      </c>
    </row>
    <row r="32" spans="2:14">
      <c r="B32" s="3"/>
      <c r="C32">
        <v>2</v>
      </c>
      <c r="D32">
        <f t="shared" ref="D32:D42" si="7">LOG10(L16)</f>
        <v>0</v>
      </c>
      <c r="E32">
        <f t="shared" ref="E32:E42" si="8">LOG10(G16)</f>
        <v>1.64144037095526</v>
      </c>
      <c r="F32">
        <f>LOG10(M16)</f>
        <v>-1.7484172778084</v>
      </c>
      <c r="G32">
        <f t="shared" ref="G32:G42" si="9">LOG10(I16)</f>
        <v>3.81328704775567</v>
      </c>
    </row>
    <row r="33" spans="2:7">
      <c r="B33" s="3"/>
      <c r="C33">
        <v>3</v>
      </c>
      <c r="D33">
        <f t="shared" si="7"/>
        <v>0.146128035678238</v>
      </c>
      <c r="E33">
        <f t="shared" si="8"/>
        <v>1.68382921201031</v>
      </c>
      <c r="F33">
        <f t="shared" ref="F32:F42" si="10">LOG10(M17)</f>
        <v>-1.68706692424026</v>
      </c>
      <c r="G33">
        <f t="shared" si="9"/>
        <v>3.85567588881072</v>
      </c>
    </row>
    <row r="34" spans="2:7">
      <c r="B34" s="3"/>
      <c r="C34">
        <v>4</v>
      </c>
      <c r="D34">
        <f t="shared" si="7"/>
        <v>0.230448921378274</v>
      </c>
      <c r="E34">
        <f t="shared" si="8"/>
        <v>1.7304479710375</v>
      </c>
      <c r="F34">
        <f t="shared" si="10"/>
        <v>-1.6959835565946</v>
      </c>
      <c r="G34">
        <f t="shared" si="9"/>
        <v>3.90229464783791</v>
      </c>
    </row>
    <row r="35" spans="2:7">
      <c r="B35" s="3"/>
      <c r="C35">
        <v>5</v>
      </c>
      <c r="D35">
        <f t="shared" si="7"/>
        <v>0.278753600952829</v>
      </c>
      <c r="E35">
        <f t="shared" si="8"/>
        <v>1.7706926773825</v>
      </c>
      <c r="F35">
        <f t="shared" si="10"/>
        <v>-1.72816828971005</v>
      </c>
      <c r="G35">
        <f t="shared" si="9"/>
        <v>3.94253935418291</v>
      </c>
    </row>
    <row r="36" spans="2:7">
      <c r="B36" s="3"/>
      <c r="C36">
        <v>6</v>
      </c>
      <c r="D36">
        <f t="shared" si="7"/>
        <v>0.322219294733919</v>
      </c>
      <c r="E36">
        <f t="shared" si="8"/>
        <v>1.8229797081795</v>
      </c>
      <c r="F36">
        <f t="shared" si="10"/>
        <v>-1.78927665752295</v>
      </c>
      <c r="G36">
        <f t="shared" si="9"/>
        <v>3.99482638497991</v>
      </c>
    </row>
    <row r="37" spans="2:7">
      <c r="B37" s="3"/>
      <c r="C37">
        <v>7</v>
      </c>
      <c r="D37">
        <f t="shared" si="7"/>
        <v>0.361727836017593</v>
      </c>
      <c r="E37">
        <f t="shared" si="8"/>
        <v>1.82789714548278</v>
      </c>
      <c r="F37">
        <f t="shared" si="10"/>
        <v>-1.75960299084584</v>
      </c>
      <c r="G37">
        <f t="shared" si="9"/>
        <v>3.99974382228319</v>
      </c>
    </row>
    <row r="38" spans="2:7">
      <c r="B38" s="3"/>
      <c r="C38">
        <v>8</v>
      </c>
      <c r="D38">
        <f t="shared" si="7"/>
        <v>0.397940008672038</v>
      </c>
      <c r="E38">
        <f t="shared" si="8"/>
        <v>1.83105566472761</v>
      </c>
      <c r="F38">
        <f t="shared" si="10"/>
        <v>-1.72970785668105</v>
      </c>
      <c r="G38">
        <f t="shared" si="9"/>
        <v>4.00290234152802</v>
      </c>
    </row>
    <row r="39" spans="2:7">
      <c r="B39" s="3"/>
      <c r="C39">
        <v>9</v>
      </c>
      <c r="D39">
        <f t="shared" si="7"/>
        <v>0.462397997898956</v>
      </c>
      <c r="E39">
        <f t="shared" si="8"/>
        <v>1.86544055001122</v>
      </c>
      <c r="F39">
        <f t="shared" si="10"/>
        <v>-1.73401963802136</v>
      </c>
      <c r="G39">
        <f t="shared" si="9"/>
        <v>4.03728722681163</v>
      </c>
    </row>
    <row r="40" spans="2:7">
      <c r="B40" s="3"/>
      <c r="C40">
        <v>10</v>
      </c>
      <c r="D40">
        <f t="shared" si="7"/>
        <v>0.491361693834273</v>
      </c>
      <c r="E40">
        <f t="shared" si="8"/>
        <v>1.90224986700907</v>
      </c>
      <c r="F40">
        <f t="shared" si="10"/>
        <v>-1.77867457608174</v>
      </c>
      <c r="G40">
        <f t="shared" si="9"/>
        <v>4.07409654380948</v>
      </c>
    </row>
    <row r="41" spans="2:7">
      <c r="B41" s="3"/>
      <c r="C41">
        <v>11</v>
      </c>
      <c r="D41">
        <f t="shared" si="7"/>
        <v>0.544068044350276</v>
      </c>
      <c r="E41">
        <f t="shared" si="8"/>
        <v>1.92675972213424</v>
      </c>
      <c r="F41">
        <f t="shared" si="10"/>
        <v>-1.77498793581608</v>
      </c>
      <c r="G41">
        <f t="shared" si="9"/>
        <v>4.09860639893465</v>
      </c>
    </row>
    <row r="42" spans="2:7">
      <c r="B42" s="3"/>
      <c r="C42">
        <v>12</v>
      </c>
      <c r="D42">
        <f t="shared" si="7"/>
        <v>0.602059991327962</v>
      </c>
      <c r="E42">
        <f t="shared" si="8"/>
        <v>1.98853145347463</v>
      </c>
      <c r="F42">
        <f t="shared" si="10"/>
        <v>-1.84053945151918</v>
      </c>
      <c r="G42">
        <f t="shared" si="9"/>
        <v>4.16037813027504</v>
      </c>
    </row>
  </sheetData>
  <mergeCells count="2">
    <mergeCell ref="B14:B26"/>
    <mergeCell ref="B30:B42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P52"/>
  <sheetViews>
    <sheetView zoomScale="85" zoomScaleNormal="85" topLeftCell="A4" workbookViewId="0">
      <selection activeCell="B3" sqref="B3:C3"/>
    </sheetView>
  </sheetViews>
  <sheetFormatPr defaultColWidth="8.88888888888889" defaultRowHeight="14.4"/>
  <cols>
    <col min="4" max="4" width="14.6296296296296" customWidth="1"/>
    <col min="5" max="5" width="13.5555555555556" customWidth="1"/>
    <col min="6" max="8" width="12.8888888888889"/>
    <col min="9" max="9" width="21.8333333333333" customWidth="1"/>
    <col min="10" max="10" width="20" customWidth="1"/>
    <col min="11" max="11" width="17.1944444444444" customWidth="1"/>
    <col min="12" max="13" width="12.8888888888889"/>
    <col min="16" max="16" width="32.2222222222222" customWidth="1"/>
  </cols>
  <sheetData>
    <row r="2" spans="1:13">
      <c r="B2" t="s">
        <v>30</v>
      </c>
      <c r="C2" t="s">
        <v>84</v>
      </c>
    </row>
    <row r="3" spans="1:13">
      <c r="B3" s="1">
        <v>1.4</v>
      </c>
      <c r="C3" s="1">
        <f>3.14*B3^2/4</f>
        <v>1.5386</v>
      </c>
    </row>
    <row r="4" spans="1:13">
      <c r="B4" s="6">
        <v>2.5</v>
      </c>
      <c r="C4" s="6">
        <f>3.14*B4^2/4</f>
        <v>4.90625</v>
      </c>
    </row>
    <row r="8" spans="1:13">
      <c r="A8" s="7" t="s">
        <v>85</v>
      </c>
      <c r="B8" t="s">
        <v>13</v>
      </c>
      <c r="C8" t="s">
        <v>86</v>
      </c>
      <c r="D8" t="s">
        <v>87</v>
      </c>
      <c r="E8" t="s">
        <v>88</v>
      </c>
      <c r="F8" t="s">
        <v>89</v>
      </c>
      <c r="G8" t="s">
        <v>90</v>
      </c>
      <c r="H8" s="4" t="s">
        <v>91</v>
      </c>
      <c r="I8" t="s">
        <v>92</v>
      </c>
      <c r="J8" t="s">
        <v>93</v>
      </c>
      <c r="K8" t="s">
        <v>94</v>
      </c>
      <c r="L8" t="s">
        <v>40</v>
      </c>
      <c r="M8" t="s">
        <v>95</v>
      </c>
    </row>
    <row r="9" spans="1:13">
      <c r="A9" s="3"/>
      <c r="B9">
        <v>1</v>
      </c>
      <c r="C9">
        <v>64.4</v>
      </c>
      <c r="D9">
        <v>64.6</v>
      </c>
      <c r="E9">
        <v>64.5</v>
      </c>
      <c r="F9">
        <v>64.6</v>
      </c>
      <c r="G9">
        <v>63.3</v>
      </c>
      <c r="H9" s="4">
        <v>63.2</v>
      </c>
      <c r="I9">
        <v>500</v>
      </c>
      <c r="J9">
        <v>8.35</v>
      </c>
      <c r="K9">
        <f t="shared" ref="K9:K14" si="0">I9/J9</f>
        <v>59.8802395209581</v>
      </c>
      <c r="L9">
        <f t="shared" ref="L9:L14" si="1">K9/1.5386</f>
        <v>38.9186530098519</v>
      </c>
      <c r="M9">
        <f t="shared" ref="M9:M14" si="2">K9/4.90625</f>
        <v>12.2048895838895</v>
      </c>
    </row>
    <row r="10" spans="1:13">
      <c r="A10" s="3"/>
      <c r="B10">
        <v>2</v>
      </c>
      <c r="C10">
        <v>63.1</v>
      </c>
      <c r="D10">
        <v>63.6</v>
      </c>
      <c r="E10">
        <v>63.5</v>
      </c>
      <c r="F10">
        <v>63.5</v>
      </c>
      <c r="G10">
        <v>61</v>
      </c>
      <c r="H10" s="4">
        <v>60.8</v>
      </c>
      <c r="I10">
        <v>1000</v>
      </c>
      <c r="J10">
        <v>11.72</v>
      </c>
      <c r="K10">
        <f t="shared" si="0"/>
        <v>85.3242320819113</v>
      </c>
      <c r="L10">
        <f t="shared" si="1"/>
        <v>55.4557598348572</v>
      </c>
      <c r="M10">
        <f t="shared" si="2"/>
        <v>17.3909262842112</v>
      </c>
    </row>
    <row r="11" spans="1:13">
      <c r="A11" s="3"/>
      <c r="B11">
        <v>3</v>
      </c>
      <c r="C11">
        <v>62.3</v>
      </c>
      <c r="D11">
        <v>63</v>
      </c>
      <c r="E11">
        <v>62.9</v>
      </c>
      <c r="F11">
        <v>62.9</v>
      </c>
      <c r="G11">
        <v>59.5</v>
      </c>
      <c r="H11" s="4">
        <v>59.2</v>
      </c>
      <c r="I11">
        <v>1000</v>
      </c>
      <c r="J11">
        <v>9.68</v>
      </c>
      <c r="K11">
        <f t="shared" si="0"/>
        <v>103.305785123967</v>
      </c>
      <c r="L11">
        <f t="shared" si="1"/>
        <v>67.1427174860048</v>
      </c>
      <c r="M11">
        <f t="shared" si="2"/>
        <v>21.0559562036111</v>
      </c>
    </row>
    <row r="12" spans="1:13">
      <c r="A12" s="3"/>
      <c r="B12">
        <v>4</v>
      </c>
      <c r="C12">
        <v>61.8</v>
      </c>
      <c r="D12">
        <v>62.6</v>
      </c>
      <c r="E12">
        <v>62.5</v>
      </c>
      <c r="F12">
        <v>62.5</v>
      </c>
      <c r="G12">
        <v>58.5</v>
      </c>
      <c r="H12" s="4">
        <v>58.2</v>
      </c>
      <c r="I12">
        <v>1000</v>
      </c>
      <c r="J12">
        <v>9.26</v>
      </c>
      <c r="K12">
        <f t="shared" si="0"/>
        <v>107.991360691145</v>
      </c>
      <c r="L12">
        <f t="shared" si="1"/>
        <v>70.1880675231672</v>
      </c>
      <c r="M12">
        <f t="shared" si="2"/>
        <v>22.0109779752652</v>
      </c>
    </row>
    <row r="13" spans="1:13">
      <c r="A13" s="3"/>
      <c r="B13">
        <v>5</v>
      </c>
      <c r="C13">
        <v>61.2</v>
      </c>
      <c r="D13">
        <v>62.1</v>
      </c>
      <c r="E13" s="2">
        <v>62</v>
      </c>
      <c r="F13">
        <v>61.9</v>
      </c>
      <c r="G13">
        <v>57.5</v>
      </c>
      <c r="H13" s="4">
        <v>57.1</v>
      </c>
      <c r="I13">
        <v>1000</v>
      </c>
      <c r="J13">
        <v>8.28</v>
      </c>
      <c r="K13">
        <f t="shared" si="0"/>
        <v>120.772946859903</v>
      </c>
      <c r="L13">
        <f t="shared" si="1"/>
        <v>78.4953508773582</v>
      </c>
      <c r="M13">
        <f t="shared" si="2"/>
        <v>24.6161420351395</v>
      </c>
    </row>
    <row r="14" spans="1:13">
      <c r="A14" s="3"/>
      <c r="B14">
        <v>6</v>
      </c>
      <c r="C14">
        <v>60.6</v>
      </c>
      <c r="D14">
        <v>61.7</v>
      </c>
      <c r="E14">
        <v>61.6</v>
      </c>
      <c r="F14">
        <v>61.5</v>
      </c>
      <c r="G14">
        <v>56.5</v>
      </c>
      <c r="H14" s="4">
        <v>56.1</v>
      </c>
      <c r="I14">
        <v>1500</v>
      </c>
      <c r="J14">
        <v>12.77</v>
      </c>
      <c r="K14">
        <f t="shared" si="0"/>
        <v>117.462803445576</v>
      </c>
      <c r="L14">
        <f t="shared" si="1"/>
        <v>76.3439512840086</v>
      </c>
      <c r="M14">
        <f t="shared" si="2"/>
        <v>23.9414631226651</v>
      </c>
    </row>
    <row r="17" spans="1:16">
      <c r="D17" t="s">
        <v>96</v>
      </c>
      <c r="E17" s="8" t="s">
        <v>97</v>
      </c>
      <c r="F17" s="9"/>
      <c r="G17" s="3" t="s">
        <v>98</v>
      </c>
      <c r="H17" s="9"/>
      <c r="I17" t="s">
        <v>99</v>
      </c>
      <c r="J17" s="10" t="s">
        <v>100</v>
      </c>
    </row>
    <row r="18" spans="1:16">
      <c r="A18" t="s">
        <v>101</v>
      </c>
      <c r="C18" t="s">
        <v>13</v>
      </c>
      <c r="D18" t="s">
        <v>102</v>
      </c>
      <c r="E18" s="11" t="s">
        <v>103</v>
      </c>
      <c r="F18" s="4" t="s">
        <v>104</v>
      </c>
      <c r="H18" s="4" t="s">
        <v>104</v>
      </c>
      <c r="I18" t="s">
        <v>105</v>
      </c>
      <c r="J18" t="s">
        <v>106</v>
      </c>
      <c r="K18" t="s">
        <v>107</v>
      </c>
      <c r="L18" t="s">
        <v>108</v>
      </c>
      <c r="N18" t="s">
        <v>109</v>
      </c>
      <c r="O18" t="s">
        <v>110</v>
      </c>
      <c r="P18" t="s">
        <v>111</v>
      </c>
    </row>
    <row r="19" spans="1:16">
      <c r="B19" s="3" t="s">
        <v>112</v>
      </c>
      <c r="C19">
        <v>1</v>
      </c>
      <c r="D19">
        <f t="shared" ref="D19:D24" si="3">K9</f>
        <v>59.8802395209581</v>
      </c>
      <c r="E19" s="11">
        <f t="shared" ref="E19:E24" si="4">0.01*1*(L9^2)/19.6</f>
        <v>0.772786506174108</v>
      </c>
      <c r="F19" s="4">
        <f t="shared" ref="F19:F24" si="5">E19+C9</f>
        <v>65.1727865061741</v>
      </c>
      <c r="G19">
        <f t="shared" ref="G19:G24" si="6">0.01*M9^2/19.6</f>
        <v>0.0759996580382325</v>
      </c>
      <c r="H19" s="4">
        <f t="shared" ref="H19:H24" si="7">G19+D9</f>
        <v>64.6759996580382</v>
      </c>
      <c r="I19">
        <f>(D9-E9)/2</f>
        <v>0.0499999999999972</v>
      </c>
      <c r="J19">
        <f t="shared" ref="J19:J24" si="8">(C9+(1*L9^2)/1960)-(D9+(1*M9^2)/1960)-I19</f>
        <v>0.446786848135901</v>
      </c>
      <c r="K19">
        <f t="shared" ref="K19:K24" si="9">J19/((L9^2)/1960)</f>
        <v>0.578150426497276</v>
      </c>
      <c r="L19" s="3">
        <f>(1-(C3/C4))^2</f>
        <v>0.47114496</v>
      </c>
      <c r="P19">
        <f>0.01*(C9+(1*L9^2)/19.6)</f>
        <v>1.41678650617411</v>
      </c>
    </row>
    <row r="20" spans="1:16">
      <c r="B20" s="3"/>
      <c r="C20">
        <v>2</v>
      </c>
      <c r="D20">
        <f t="shared" si="3"/>
        <v>85.3242320819113</v>
      </c>
      <c r="E20" s="11">
        <f t="shared" si="4"/>
        <v>1.56905168309253</v>
      </c>
      <c r="F20" s="4">
        <f t="shared" si="5"/>
        <v>64.6690516830925</v>
      </c>
      <c r="G20">
        <f t="shared" si="6"/>
        <v>0.154308325011668</v>
      </c>
      <c r="H20" s="4">
        <f t="shared" si="7"/>
        <v>63.7543083250117</v>
      </c>
      <c r="I20">
        <f>(D10-E10)/2</f>
        <v>0.0500000000000007</v>
      </c>
      <c r="J20">
        <f t="shared" si="8"/>
        <v>0.864743358080862</v>
      </c>
      <c r="K20">
        <f t="shared" si="9"/>
        <v>0.551124840181485</v>
      </c>
      <c r="L20" s="3"/>
    </row>
    <row r="21" spans="1:16">
      <c r="B21" s="3"/>
      <c r="C21">
        <v>3</v>
      </c>
      <c r="D21">
        <f t="shared" si="3"/>
        <v>103.305785123967</v>
      </c>
      <c r="E21" s="11">
        <f t="shared" si="4"/>
        <v>2.30007373030891</v>
      </c>
      <c r="F21" s="4">
        <f t="shared" si="5"/>
        <v>64.6000737303089</v>
      </c>
      <c r="G21">
        <f t="shared" si="6"/>
        <v>0.22620065900428</v>
      </c>
      <c r="H21" s="4">
        <f t="shared" si="7"/>
        <v>63.2262006590043</v>
      </c>
      <c r="I21">
        <f t="shared" ref="I19:I24" si="10">(D11-E11)/2</f>
        <v>0.0500000000000007</v>
      </c>
      <c r="J21">
        <f t="shared" si="8"/>
        <v>1.32387307130463</v>
      </c>
      <c r="K21">
        <f t="shared" si="9"/>
        <v>0.575578536400583</v>
      </c>
      <c r="L21" s="3"/>
    </row>
    <row r="22" spans="1:16">
      <c r="B22" s="3"/>
      <c r="C22">
        <v>4</v>
      </c>
      <c r="D22">
        <f t="shared" si="3"/>
        <v>107.991360691145</v>
      </c>
      <c r="E22" s="11">
        <f t="shared" si="4"/>
        <v>2.51345144012075</v>
      </c>
      <c r="F22" s="4">
        <f t="shared" si="5"/>
        <v>64.3134514401207</v>
      </c>
      <c r="G22">
        <f t="shared" si="6"/>
        <v>0.247185281340618</v>
      </c>
      <c r="H22" s="4">
        <f t="shared" si="7"/>
        <v>62.8471852813406</v>
      </c>
      <c r="I22">
        <f t="shared" si="10"/>
        <v>0.0500000000000007</v>
      </c>
      <c r="J22">
        <f t="shared" si="8"/>
        <v>1.41626615878012</v>
      </c>
      <c r="K22">
        <f t="shared" si="9"/>
        <v>0.563474645331553</v>
      </c>
      <c r="L22" s="3"/>
    </row>
    <row r="23" spans="1:16">
      <c r="B23" s="3"/>
      <c r="C23">
        <v>5</v>
      </c>
      <c r="D23">
        <f t="shared" si="3"/>
        <v>120.772946859903</v>
      </c>
      <c r="E23" s="11">
        <f t="shared" si="4"/>
        <v>3.14363270885693</v>
      </c>
      <c r="F23" s="4">
        <f t="shared" si="5"/>
        <v>64.3436327088569</v>
      </c>
      <c r="G23">
        <f t="shared" si="6"/>
        <v>0.309160433007227</v>
      </c>
      <c r="H23" s="4">
        <f t="shared" si="7"/>
        <v>62.4091604330072</v>
      </c>
      <c r="I23">
        <f t="shared" si="10"/>
        <v>0.0500000000000007</v>
      </c>
      <c r="J23">
        <f t="shared" si="8"/>
        <v>1.8844722758497</v>
      </c>
      <c r="K23">
        <f t="shared" si="9"/>
        <v>0.599456886467796</v>
      </c>
      <c r="L23" s="3"/>
    </row>
    <row r="24" spans="1:16">
      <c r="B24" s="3"/>
      <c r="C24">
        <v>6</v>
      </c>
      <c r="D24">
        <f t="shared" si="3"/>
        <v>117.462803445576</v>
      </c>
      <c r="E24" s="11">
        <f t="shared" si="4"/>
        <v>2.97367290696687</v>
      </c>
      <c r="F24" s="4">
        <f t="shared" si="5"/>
        <v>63.5736729069669</v>
      </c>
      <c r="G24">
        <f t="shared" si="6"/>
        <v>0.292445743088741</v>
      </c>
      <c r="H24" s="4">
        <f t="shared" si="7"/>
        <v>61.9924457430887</v>
      </c>
      <c r="I24">
        <f t="shared" si="10"/>
        <v>0.0500000000000007</v>
      </c>
      <c r="J24">
        <f t="shared" si="8"/>
        <v>1.53122716387813</v>
      </c>
      <c r="K24">
        <f t="shared" si="9"/>
        <v>0.514927906257172</v>
      </c>
      <c r="L24" s="3"/>
    </row>
    <row r="25" spans="1:16">
      <c r="B25" s="3" t="s">
        <v>113</v>
      </c>
      <c r="C25">
        <v>1</v>
      </c>
      <c r="D25">
        <f t="shared" ref="D25:D30" si="11">K9</f>
        <v>59.8802395209581</v>
      </c>
      <c r="E25" s="11">
        <f t="shared" ref="E25:E30" si="12">0.01*1*(M9^2)/19.6</f>
        <v>0.0759996580382325</v>
      </c>
      <c r="F25" s="4">
        <f t="shared" ref="F25:F30" si="13">E25+F9</f>
        <v>64.6759996580382</v>
      </c>
      <c r="G25">
        <f t="shared" ref="G25:G30" si="14">0.01*L9^2/19.6</f>
        <v>0.772786506174108</v>
      </c>
      <c r="H25" s="4">
        <f t="shared" ref="H25:H30" si="15">G25+G9</f>
        <v>64.0727865061741</v>
      </c>
      <c r="I25">
        <f>(4*N25/13)+(9*O25/10)</f>
        <v>0.0592307692307659</v>
      </c>
      <c r="J25">
        <f t="shared" ref="J25:J30" si="16">(F9-G9)+((M9^2-L9^2)/1960)-(I25)</f>
        <v>0.543982382633355</v>
      </c>
      <c r="K25">
        <f t="shared" ref="K25:K30" si="17">J25/((L9^2)/1960)</f>
        <v>0.703923241784447</v>
      </c>
      <c r="L25" s="3">
        <f>0.5*(1-(C3/C4))</f>
        <v>0.3432</v>
      </c>
      <c r="N25">
        <f t="shared" ref="N25:N30" si="18">E9-F9</f>
        <v>-0.0999999999999943</v>
      </c>
      <c r="O25">
        <f t="shared" ref="O25:O30" si="19">G9-H9</f>
        <v>0.0999999999999943</v>
      </c>
    </row>
    <row r="26" spans="1:16">
      <c r="B26" s="3"/>
      <c r="C26">
        <v>2</v>
      </c>
      <c r="D26">
        <f t="shared" si="11"/>
        <v>85.3242320819113</v>
      </c>
      <c r="E26" s="11">
        <f t="shared" si="12"/>
        <v>0.154308325011668</v>
      </c>
      <c r="F26" s="4">
        <f t="shared" si="13"/>
        <v>63.6543083250117</v>
      </c>
      <c r="G26">
        <f t="shared" si="14"/>
        <v>1.56905168309253</v>
      </c>
      <c r="H26" s="4">
        <f t="shared" si="15"/>
        <v>62.5690516830925</v>
      </c>
      <c r="I26">
        <f t="shared" ref="I26:I31" si="20">(4*N26/13)+(9*O26/10)</f>
        <v>0.180000000000003</v>
      </c>
      <c r="J26">
        <f t="shared" si="16"/>
        <v>0.905256641919133</v>
      </c>
      <c r="K26">
        <f t="shared" si="17"/>
        <v>0.576945075598091</v>
      </c>
      <c r="L26" s="3"/>
      <c r="N26">
        <f t="shared" si="18"/>
        <v>0</v>
      </c>
      <c r="O26">
        <f t="shared" si="19"/>
        <v>0.200000000000003</v>
      </c>
    </row>
    <row r="27" spans="1:16">
      <c r="B27" s="3"/>
      <c r="C27">
        <v>3</v>
      </c>
      <c r="D27">
        <f t="shared" si="11"/>
        <v>103.305785123967</v>
      </c>
      <c r="E27" s="11">
        <f t="shared" si="12"/>
        <v>0.22620065900428</v>
      </c>
      <c r="F27" s="4">
        <f t="shared" si="13"/>
        <v>63.1262006590043</v>
      </c>
      <c r="G27">
        <f t="shared" si="14"/>
        <v>2.30007373030891</v>
      </c>
      <c r="H27" s="4">
        <f t="shared" si="15"/>
        <v>61.8000737303089</v>
      </c>
      <c r="I27">
        <f t="shared" si="20"/>
        <v>0.269999999999997</v>
      </c>
      <c r="J27">
        <f t="shared" si="16"/>
        <v>1.05612692869537</v>
      </c>
      <c r="K27">
        <f t="shared" si="17"/>
        <v>0.45917090168824</v>
      </c>
      <c r="L27" s="3"/>
      <c r="N27">
        <f t="shared" si="18"/>
        <v>0</v>
      </c>
      <c r="O27">
        <f t="shared" si="19"/>
        <v>0.299999999999997</v>
      </c>
    </row>
    <row r="28" spans="1:16">
      <c r="B28" s="3"/>
      <c r="C28">
        <v>4</v>
      </c>
      <c r="D28">
        <f t="shared" si="11"/>
        <v>107.991360691145</v>
      </c>
      <c r="E28" s="11">
        <f t="shared" si="12"/>
        <v>0.247185281340618</v>
      </c>
      <c r="F28" s="4">
        <f t="shared" si="13"/>
        <v>62.7471852813406</v>
      </c>
      <c r="G28">
        <f t="shared" si="14"/>
        <v>2.51345144012075</v>
      </c>
      <c r="H28" s="4">
        <f t="shared" si="15"/>
        <v>61.0134514401208</v>
      </c>
      <c r="I28">
        <f t="shared" si="20"/>
        <v>0.269999999999997</v>
      </c>
      <c r="J28">
        <f t="shared" si="16"/>
        <v>1.46373384121987</v>
      </c>
      <c r="K28">
        <f t="shared" si="17"/>
        <v>0.582360103662694</v>
      </c>
      <c r="L28" s="3"/>
      <c r="N28">
        <f t="shared" si="18"/>
        <v>0</v>
      </c>
      <c r="O28">
        <f t="shared" si="19"/>
        <v>0.299999999999997</v>
      </c>
    </row>
    <row r="29" spans="1:16">
      <c r="B29" s="3"/>
      <c r="C29">
        <v>5</v>
      </c>
      <c r="D29">
        <f t="shared" si="11"/>
        <v>120.772946859903</v>
      </c>
      <c r="E29" s="11">
        <f t="shared" si="12"/>
        <v>0.309160433007227</v>
      </c>
      <c r="F29" s="4">
        <f t="shared" si="13"/>
        <v>62.2091604330072</v>
      </c>
      <c r="G29">
        <f t="shared" si="14"/>
        <v>3.14363270885693</v>
      </c>
      <c r="H29" s="4">
        <f t="shared" si="15"/>
        <v>60.6436327088569</v>
      </c>
      <c r="I29">
        <f t="shared" si="20"/>
        <v>0.39076923076923</v>
      </c>
      <c r="J29">
        <f t="shared" si="16"/>
        <v>1.17475849338106</v>
      </c>
      <c r="K29">
        <f t="shared" si="17"/>
        <v>0.373694576364242</v>
      </c>
      <c r="L29" s="3"/>
      <c r="N29">
        <f t="shared" si="18"/>
        <v>0.100000000000001</v>
      </c>
      <c r="O29">
        <f t="shared" si="19"/>
        <v>0.399999999999999</v>
      </c>
    </row>
    <row r="30" spans="1:16">
      <c r="B30" s="3"/>
      <c r="C30">
        <v>6</v>
      </c>
      <c r="D30">
        <f t="shared" si="11"/>
        <v>117.462803445576</v>
      </c>
      <c r="E30" s="11">
        <f t="shared" si="12"/>
        <v>0.292445743088741</v>
      </c>
      <c r="F30" s="4">
        <f t="shared" si="13"/>
        <v>61.7924457430887</v>
      </c>
      <c r="G30">
        <f t="shared" si="14"/>
        <v>2.97367290696687</v>
      </c>
      <c r="H30" s="4">
        <f t="shared" si="15"/>
        <v>59.4736729069669</v>
      </c>
      <c r="I30">
        <f t="shared" si="20"/>
        <v>0.39076923076923</v>
      </c>
      <c r="J30">
        <f t="shared" si="16"/>
        <v>1.92800360535264</v>
      </c>
      <c r="K30">
        <f t="shared" si="17"/>
        <v>0.648357659255532</v>
      </c>
      <c r="L30" s="3"/>
      <c r="N30">
        <f t="shared" si="18"/>
        <v>0.100000000000001</v>
      </c>
      <c r="O30">
        <f t="shared" si="19"/>
        <v>0.399999999999999</v>
      </c>
    </row>
    <row r="33" spans="2:10">
      <c r="D33" t="s">
        <v>91</v>
      </c>
      <c r="E33" t="s">
        <v>114</v>
      </c>
      <c r="F33" t="s">
        <v>115</v>
      </c>
      <c r="G33" t="s">
        <v>116</v>
      </c>
      <c r="H33" t="s">
        <v>117</v>
      </c>
      <c r="I33" t="s">
        <v>94</v>
      </c>
      <c r="J33" t="s">
        <v>51</v>
      </c>
    </row>
    <row r="34" spans="2:10">
      <c r="B34" s="3" t="s">
        <v>118</v>
      </c>
      <c r="C34">
        <v>1</v>
      </c>
      <c r="D34">
        <v>62.1</v>
      </c>
      <c r="E34">
        <v>62</v>
      </c>
      <c r="F34">
        <v>55.3</v>
      </c>
      <c r="G34">
        <v>1000</v>
      </c>
      <c r="H34">
        <v>14.39</v>
      </c>
      <c r="I34">
        <f t="shared" ref="I34:I39" si="21">G34/H34</f>
        <v>69.4927032661571</v>
      </c>
      <c r="J34">
        <f>I34/C3</f>
        <v>45.1661921657072</v>
      </c>
    </row>
    <row r="35" spans="2:10">
      <c r="B35" s="3"/>
      <c r="C35">
        <v>2</v>
      </c>
      <c r="D35">
        <v>58.4</v>
      </c>
      <c r="E35">
        <v>57.9</v>
      </c>
      <c r="F35">
        <v>42.4</v>
      </c>
      <c r="G35">
        <v>1000</v>
      </c>
      <c r="H35">
        <v>9.12</v>
      </c>
      <c r="I35">
        <f t="shared" si="21"/>
        <v>109.649122807018</v>
      </c>
      <c r="J35">
        <f>I35/C3</f>
        <v>71.2655159281279</v>
      </c>
    </row>
    <row r="36" spans="2:10">
      <c r="B36" s="3">
        <v>30</v>
      </c>
      <c r="C36">
        <v>1</v>
      </c>
      <c r="D36">
        <v>62.8</v>
      </c>
      <c r="E36">
        <v>62.7</v>
      </c>
      <c r="F36">
        <v>46</v>
      </c>
      <c r="G36">
        <v>1000</v>
      </c>
      <c r="H36">
        <v>16.07</v>
      </c>
      <c r="I36">
        <f t="shared" si="21"/>
        <v>62.2277535780958</v>
      </c>
      <c r="J36">
        <f>I36/C3</f>
        <v>40.4443998297776</v>
      </c>
    </row>
    <row r="37" spans="2:10">
      <c r="B37" s="3"/>
      <c r="C37">
        <v>2</v>
      </c>
      <c r="D37">
        <v>60.4</v>
      </c>
      <c r="E37">
        <v>60</v>
      </c>
      <c r="F37">
        <v>22.4</v>
      </c>
      <c r="G37">
        <v>1000</v>
      </c>
      <c r="H37">
        <v>10.96</v>
      </c>
      <c r="I37">
        <f t="shared" si="21"/>
        <v>91.2408759124088</v>
      </c>
      <c r="J37">
        <f>I37/C3</f>
        <v>59.3012322321648</v>
      </c>
    </row>
    <row r="38" spans="2:10">
      <c r="B38" s="3">
        <v>60</v>
      </c>
      <c r="C38">
        <v>1</v>
      </c>
      <c r="D38">
        <v>64.8</v>
      </c>
      <c r="E38">
        <v>64.9</v>
      </c>
      <c r="F38">
        <v>21.4</v>
      </c>
      <c r="G38">
        <v>500</v>
      </c>
      <c r="H38">
        <v>23.11</v>
      </c>
      <c r="I38">
        <f t="shared" si="21"/>
        <v>21.6356555603635</v>
      </c>
      <c r="J38">
        <f>I38/C3</f>
        <v>14.0619105422875</v>
      </c>
    </row>
    <row r="39" spans="2:10">
      <c r="B39" s="3"/>
      <c r="C39">
        <v>2</v>
      </c>
      <c r="D39">
        <v>64.9</v>
      </c>
      <c r="E39">
        <v>64.9</v>
      </c>
      <c r="F39">
        <v>11</v>
      </c>
      <c r="G39">
        <v>500</v>
      </c>
      <c r="H39">
        <v>21.55</v>
      </c>
      <c r="I39">
        <f t="shared" si="21"/>
        <v>23.2018561484919</v>
      </c>
      <c r="J39">
        <f>I39/C3</f>
        <v>15.0798493100818</v>
      </c>
    </row>
    <row r="45" spans="2:10">
      <c r="D45" t="s">
        <v>119</v>
      </c>
      <c r="E45" t="s">
        <v>120</v>
      </c>
    </row>
    <row r="46" spans="2:10">
      <c r="D46" t="s">
        <v>121</v>
      </c>
      <c r="E46" t="s">
        <v>122</v>
      </c>
      <c r="F46" t="s">
        <v>123</v>
      </c>
      <c r="G46" t="s">
        <v>51</v>
      </c>
      <c r="H46" t="s">
        <v>124</v>
      </c>
    </row>
    <row r="47" spans="2:10">
      <c r="B47" s="3" t="s">
        <v>118</v>
      </c>
      <c r="C47">
        <v>1</v>
      </c>
      <c r="D47">
        <f t="shared" ref="D47:D52" si="22">D34-E34</f>
        <v>0.100000000000001</v>
      </c>
      <c r="E47">
        <f t="shared" ref="E47:E52" si="23">E34-F34</f>
        <v>6.7</v>
      </c>
      <c r="F47">
        <f t="shared" ref="F47:F52" si="24">E47-2*D47</f>
        <v>6.5</v>
      </c>
      <c r="G47">
        <f t="shared" ref="G47:G52" si="25">J34</f>
        <v>45.1661921657072</v>
      </c>
      <c r="H47">
        <f t="shared" ref="H47:H52" si="26">F47*1960/(G47^2)</f>
        <v>6.24514422037472</v>
      </c>
    </row>
    <row r="48" spans="2:10">
      <c r="B48" s="3"/>
      <c r="C48">
        <v>2</v>
      </c>
      <c r="D48">
        <f t="shared" si="22"/>
        <v>0.5</v>
      </c>
      <c r="E48">
        <f t="shared" si="23"/>
        <v>15.5</v>
      </c>
      <c r="F48">
        <f t="shared" si="24"/>
        <v>14.5</v>
      </c>
      <c r="G48">
        <f t="shared" si="25"/>
        <v>71.2655159281279</v>
      </c>
      <c r="H48">
        <f t="shared" si="26"/>
        <v>5.59583894463326</v>
      </c>
    </row>
    <row r="49" spans="2:8">
      <c r="B49" s="3">
        <v>30</v>
      </c>
      <c r="C49">
        <v>1</v>
      </c>
      <c r="D49">
        <f t="shared" si="22"/>
        <v>0.0999999999999943</v>
      </c>
      <c r="E49">
        <f t="shared" si="23"/>
        <v>16.7</v>
      </c>
      <c r="F49">
        <f t="shared" si="24"/>
        <v>16.5</v>
      </c>
      <c r="G49">
        <f t="shared" si="25"/>
        <v>40.4443998297776</v>
      </c>
      <c r="H49">
        <f t="shared" si="26"/>
        <v>19.7707536777756</v>
      </c>
    </row>
    <row r="50" spans="2:8">
      <c r="B50" s="3"/>
      <c r="C50">
        <v>2</v>
      </c>
      <c r="D50">
        <f t="shared" si="22"/>
        <v>0.399999999999999</v>
      </c>
      <c r="E50">
        <f t="shared" si="23"/>
        <v>37.6</v>
      </c>
      <c r="F50">
        <f t="shared" si="24"/>
        <v>36.8</v>
      </c>
      <c r="G50">
        <f t="shared" si="25"/>
        <v>59.3012322321648</v>
      </c>
      <c r="H50">
        <f t="shared" si="26"/>
        <v>20.5105097716382</v>
      </c>
    </row>
    <row r="51" spans="2:8">
      <c r="B51" s="3">
        <v>60</v>
      </c>
      <c r="C51">
        <v>1</v>
      </c>
      <c r="D51">
        <f t="shared" si="22"/>
        <v>-0.100000000000009</v>
      </c>
      <c r="E51">
        <f t="shared" si="23"/>
        <v>43.5</v>
      </c>
      <c r="F51">
        <f t="shared" si="24"/>
        <v>43.7</v>
      </c>
      <c r="G51">
        <f t="shared" si="25"/>
        <v>14.0619105422875</v>
      </c>
      <c r="H51">
        <f t="shared" si="26"/>
        <v>433.160500464482</v>
      </c>
    </row>
    <row r="52" spans="2:8">
      <c r="B52" s="3"/>
      <c r="C52">
        <v>2</v>
      </c>
      <c r="D52">
        <f t="shared" si="22"/>
        <v>0</v>
      </c>
      <c r="E52">
        <f t="shared" si="23"/>
        <v>53.9</v>
      </c>
      <c r="F52">
        <f t="shared" si="24"/>
        <v>53.9</v>
      </c>
      <c r="G52">
        <f t="shared" si="25"/>
        <v>15.0798493100818</v>
      </c>
      <c r="H52">
        <f t="shared" si="26"/>
        <v>464.56964874021</v>
      </c>
    </row>
  </sheetData>
  <mergeCells count="13">
    <mergeCell ref="E17:F17"/>
    <mergeCell ref="G17:H17"/>
    <mergeCell ref="A8:A14"/>
    <mergeCell ref="B19:B24"/>
    <mergeCell ref="B25:B30"/>
    <mergeCell ref="B34:B35"/>
    <mergeCell ref="B36:B37"/>
    <mergeCell ref="B38:B39"/>
    <mergeCell ref="B47:B48"/>
    <mergeCell ref="B49:B50"/>
    <mergeCell ref="B51:B52"/>
    <mergeCell ref="L19:L24"/>
    <mergeCell ref="L25:L30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27"/>
  <sheetViews>
    <sheetView workbookViewId="0">
      <selection activeCell="J17" sqref="J17"/>
    </sheetView>
  </sheetViews>
  <sheetFormatPr defaultColWidth="8.88888888888889" defaultRowHeight="14.4"/>
  <cols>
    <col min="3" max="3" width="12.8888888888889"/>
    <col min="6" max="6" width="12.8888888888889"/>
    <col min="7" max="7" width="24.5555555555556" customWidth="1"/>
    <col min="8" max="11" width="12.8888888888889"/>
    <col min="13" max="13" width="16.6666666666667" customWidth="1"/>
    <col min="14" max="14" width="12.8888888888889"/>
  </cols>
  <sheetData>
    <row r="2" spans="2:10">
      <c r="C2" s="1">
        <v>1.4</v>
      </c>
      <c r="D2" s="1">
        <f>3.14*C2^2/4</f>
        <v>1.5386</v>
      </c>
    </row>
    <row r="4" spans="2:10">
      <c r="C4" t="s">
        <v>125</v>
      </c>
      <c r="D4" t="s">
        <v>126</v>
      </c>
      <c r="E4" t="s">
        <v>86</v>
      </c>
      <c r="F4" t="s">
        <v>87</v>
      </c>
      <c r="G4" t="s">
        <v>127</v>
      </c>
      <c r="H4" t="s">
        <v>117</v>
      </c>
      <c r="I4" t="s">
        <v>66</v>
      </c>
    </row>
    <row r="5" spans="2:10">
      <c r="B5">
        <v>1</v>
      </c>
      <c r="C5">
        <v>61.9</v>
      </c>
      <c r="D5">
        <v>42.6</v>
      </c>
      <c r="E5">
        <v>56.3</v>
      </c>
      <c r="F5">
        <v>1.5</v>
      </c>
      <c r="G5">
        <v>1000</v>
      </c>
      <c r="H5">
        <v>10.16</v>
      </c>
      <c r="I5">
        <v>21.7</v>
      </c>
      <c r="J5">
        <v>0.9667</v>
      </c>
    </row>
    <row r="6" spans="2:10">
      <c r="B6">
        <v>2</v>
      </c>
      <c r="C6">
        <v>61.9</v>
      </c>
      <c r="D6">
        <v>43</v>
      </c>
      <c r="E6">
        <v>56.4</v>
      </c>
      <c r="F6">
        <v>3</v>
      </c>
      <c r="G6">
        <v>1000</v>
      </c>
      <c r="H6">
        <v>10.42</v>
      </c>
      <c r="I6">
        <v>21.8</v>
      </c>
      <c r="J6">
        <v>0.9645</v>
      </c>
    </row>
    <row r="7" spans="2:10">
      <c r="B7">
        <v>3</v>
      </c>
      <c r="C7">
        <v>62.1</v>
      </c>
      <c r="D7">
        <v>44.3</v>
      </c>
      <c r="E7">
        <v>56.9</v>
      </c>
      <c r="F7">
        <v>6.7</v>
      </c>
      <c r="G7">
        <v>1000</v>
      </c>
      <c r="H7">
        <v>10.53</v>
      </c>
      <c r="I7">
        <v>21.8</v>
      </c>
      <c r="J7">
        <v>0.9645</v>
      </c>
    </row>
    <row r="8" spans="2:10">
      <c r="B8">
        <v>4</v>
      </c>
      <c r="C8">
        <v>62.3</v>
      </c>
      <c r="D8">
        <v>45.5</v>
      </c>
      <c r="E8">
        <v>57.3</v>
      </c>
      <c r="F8">
        <v>10.2</v>
      </c>
      <c r="G8">
        <v>1000</v>
      </c>
      <c r="H8">
        <v>11.11</v>
      </c>
      <c r="I8">
        <v>21.7</v>
      </c>
      <c r="J8">
        <v>0.9667</v>
      </c>
    </row>
    <row r="9" spans="2:10">
      <c r="B9">
        <v>5</v>
      </c>
      <c r="C9">
        <v>62.5</v>
      </c>
      <c r="D9">
        <v>47.2</v>
      </c>
      <c r="E9">
        <v>57.8</v>
      </c>
      <c r="F9">
        <v>14.6</v>
      </c>
      <c r="G9">
        <v>1000</v>
      </c>
      <c r="H9">
        <v>11.55</v>
      </c>
      <c r="I9">
        <v>21.7</v>
      </c>
      <c r="J9">
        <v>0.9667</v>
      </c>
    </row>
    <row r="10" spans="2:10">
      <c r="B10">
        <v>6</v>
      </c>
      <c r="C10">
        <v>62.9</v>
      </c>
      <c r="D10">
        <v>49.5</v>
      </c>
      <c r="E10">
        <v>58.6</v>
      </c>
      <c r="F10">
        <v>21.5</v>
      </c>
      <c r="G10">
        <v>1000</v>
      </c>
      <c r="H10">
        <v>12.18</v>
      </c>
      <c r="I10">
        <v>21.8</v>
      </c>
      <c r="J10">
        <v>0.9645</v>
      </c>
    </row>
    <row r="11" spans="2:10">
      <c r="B11">
        <v>7</v>
      </c>
      <c r="C11">
        <v>63.1</v>
      </c>
      <c r="D11" s="2">
        <v>51</v>
      </c>
      <c r="E11">
        <v>59.2</v>
      </c>
      <c r="F11">
        <v>25.5</v>
      </c>
      <c r="G11">
        <v>1000</v>
      </c>
      <c r="H11">
        <v>12.85</v>
      </c>
      <c r="I11">
        <v>21.8</v>
      </c>
      <c r="J11">
        <v>0.9645</v>
      </c>
    </row>
    <row r="12" spans="2:10">
      <c r="B12">
        <v>8</v>
      </c>
      <c r="C12">
        <v>63.4</v>
      </c>
      <c r="D12">
        <v>52.7</v>
      </c>
      <c r="E12">
        <v>59.7</v>
      </c>
      <c r="F12">
        <v>30.3</v>
      </c>
      <c r="G12">
        <v>1000</v>
      </c>
      <c r="H12">
        <v>13.05</v>
      </c>
      <c r="I12">
        <v>21.8</v>
      </c>
      <c r="J12">
        <v>0.9645</v>
      </c>
    </row>
    <row r="18" spans="2:14">
      <c r="F18" s="3" t="s">
        <v>34</v>
      </c>
      <c r="G18" s="3"/>
      <c r="H18" s="3" t="s">
        <v>128</v>
      </c>
      <c r="I18" s="3"/>
    </row>
    <row r="19" spans="2:14">
      <c r="C19" s="4" t="s">
        <v>129</v>
      </c>
      <c r="D19" t="s">
        <v>130</v>
      </c>
      <c r="E19" s="4" t="s">
        <v>131</v>
      </c>
      <c r="F19" t="s">
        <v>132</v>
      </c>
      <c r="G19" t="s">
        <v>133</v>
      </c>
      <c r="H19" t="s">
        <v>132</v>
      </c>
      <c r="I19" t="s">
        <v>133</v>
      </c>
      <c r="J19" t="s">
        <v>134</v>
      </c>
      <c r="K19" t="s">
        <v>51</v>
      </c>
    </row>
    <row r="20" spans="2:14">
      <c r="B20">
        <v>1</v>
      </c>
      <c r="C20" s="4">
        <f>G5/H5</f>
        <v>98.4251968503937</v>
      </c>
      <c r="D20">
        <f>C5-D5</f>
        <v>19.3</v>
      </c>
      <c r="E20" s="4">
        <f>E5-F5</f>
        <v>54.8</v>
      </c>
      <c r="F20">
        <f>23.5320681890456*SQRT(D20)</f>
        <v>103.380529606885</v>
      </c>
      <c r="G20">
        <f>14.1192409134274*SQRT(E20)</f>
        <v>104.520535903873</v>
      </c>
      <c r="H20">
        <f>C20/F20</f>
        <v>0.952067059674246</v>
      </c>
      <c r="I20">
        <f>C20/G20</f>
        <v>0.941682856859007</v>
      </c>
      <c r="J20">
        <f>K20*1.4/J5</f>
        <v>92.643911074442</v>
      </c>
      <c r="K20">
        <f>C20/1.5386</f>
        <v>63.9706205969022</v>
      </c>
      <c r="L20" t="s">
        <v>135</v>
      </c>
      <c r="M20">
        <f>SQRT(1960)*3.14*(1.4*1.4*0.8*0.8)/(4*SQRT(1.4^4-0.8^4))</f>
        <v>23.5320681890456</v>
      </c>
      <c r="N20">
        <v>1</v>
      </c>
    </row>
    <row r="21" spans="2:14">
      <c r="B21">
        <v>2</v>
      </c>
      <c r="C21" s="4">
        <f t="shared" ref="C21:C27" si="0">G6/H6</f>
        <v>95.9692898272553</v>
      </c>
      <c r="D21">
        <f t="shared" ref="D21:D27" si="1">C6-D6</f>
        <v>18.9</v>
      </c>
      <c r="E21" s="4">
        <f t="shared" ref="E21:E27" si="2">E6-F6</f>
        <v>53.4</v>
      </c>
      <c r="F21">
        <f t="shared" ref="F21:F27" si="3">23.5320681890456*SQRT(D21)</f>
        <v>102.303619723344</v>
      </c>
      <c r="G21">
        <f>14.1192409134274*SQRT(E21)</f>
        <v>103.176781671425</v>
      </c>
      <c r="H21">
        <f t="shared" ref="H21:H27" si="4">C21/F21</f>
        <v>0.938083032514213</v>
      </c>
      <c r="I21">
        <f>C21/G21</f>
        <v>0.930144246337103</v>
      </c>
      <c r="J21">
        <f t="shared" ref="J21:J27" si="5">K21*1.4/J6</f>
        <v>90.5383043704421</v>
      </c>
      <c r="K21">
        <f t="shared" ref="K21:K27" si="6">C21/1.5386</f>
        <v>62.3744246894939</v>
      </c>
      <c r="L21" t="s">
        <v>136</v>
      </c>
      <c r="M21">
        <f>0.6*M20</f>
        <v>14.1192409134274</v>
      </c>
      <c r="N21">
        <v>0.6</v>
      </c>
    </row>
    <row r="22" spans="2:14">
      <c r="B22">
        <v>3</v>
      </c>
      <c r="C22" s="4">
        <f t="shared" si="0"/>
        <v>94.9667616334283</v>
      </c>
      <c r="D22">
        <f t="shared" si="1"/>
        <v>17.8</v>
      </c>
      <c r="E22" s="4">
        <f t="shared" si="2"/>
        <v>50.2</v>
      </c>
      <c r="F22">
        <f t="shared" si="3"/>
        <v>99.2819044535271</v>
      </c>
      <c r="G22">
        <f t="shared" ref="G21:G27" si="7">14.1192409134274*SQRT(E22)</f>
        <v>100.037586892949</v>
      </c>
      <c r="H22">
        <f t="shared" si="4"/>
        <v>0.956536462068789</v>
      </c>
      <c r="I22">
        <f t="shared" ref="I21:I27" si="8">C22/G22</f>
        <v>0.949310799900168</v>
      </c>
      <c r="J22">
        <f t="shared" si="5"/>
        <v>89.5925101177594</v>
      </c>
      <c r="K22">
        <f t="shared" si="6"/>
        <v>61.7228400061278</v>
      </c>
      <c r="M22">
        <f>M20*0.62</f>
        <v>14.5898822772083</v>
      </c>
      <c r="N22">
        <v>0.62</v>
      </c>
    </row>
    <row r="23" spans="2:14">
      <c r="B23">
        <v>4</v>
      </c>
      <c r="C23" s="4">
        <f t="shared" si="0"/>
        <v>90.00900090009</v>
      </c>
      <c r="D23">
        <f t="shared" si="1"/>
        <v>16.8</v>
      </c>
      <c r="E23" s="4">
        <f t="shared" si="2"/>
        <v>47.1</v>
      </c>
      <c r="F23">
        <f t="shared" si="3"/>
        <v>96.4527776617417</v>
      </c>
      <c r="G23">
        <f t="shared" si="7"/>
        <v>96.899559354277</v>
      </c>
      <c r="H23">
        <f t="shared" si="4"/>
        <v>0.933192418944637</v>
      </c>
      <c r="I23">
        <f t="shared" si="8"/>
        <v>0.928889682263732</v>
      </c>
      <c r="J23">
        <f t="shared" si="5"/>
        <v>84.722064492919</v>
      </c>
      <c r="K23">
        <f t="shared" si="6"/>
        <v>58.5005855323606</v>
      </c>
      <c r="M23" s="5"/>
    </row>
    <row r="24" spans="2:14">
      <c r="B24">
        <v>5</v>
      </c>
      <c r="C24" s="4">
        <f t="shared" si="0"/>
        <v>86.5800865800866</v>
      </c>
      <c r="D24">
        <f t="shared" si="1"/>
        <v>15.3</v>
      </c>
      <c r="E24" s="4">
        <f t="shared" si="2"/>
        <v>43.2</v>
      </c>
      <c r="F24">
        <f t="shared" si="3"/>
        <v>92.0461893224513</v>
      </c>
      <c r="G24">
        <f t="shared" si="7"/>
        <v>92.8011209176084</v>
      </c>
      <c r="H24">
        <f t="shared" si="4"/>
        <v>0.940615654134077</v>
      </c>
      <c r="I24">
        <f t="shared" si="8"/>
        <v>0.932963801772987</v>
      </c>
      <c r="J24">
        <f t="shared" si="5"/>
        <v>81.4945572741412</v>
      </c>
      <c r="K24">
        <f t="shared" si="6"/>
        <v>56.2719917977945</v>
      </c>
      <c r="M24" s="31" t="s">
        <v>137</v>
      </c>
    </row>
    <row r="25" spans="2:14">
      <c r="B25">
        <v>6</v>
      </c>
      <c r="C25" s="4">
        <f t="shared" si="0"/>
        <v>82.1018062397373</v>
      </c>
      <c r="D25">
        <f t="shared" si="1"/>
        <v>13.4</v>
      </c>
      <c r="E25" s="4">
        <f t="shared" si="2"/>
        <v>37.1</v>
      </c>
      <c r="F25">
        <f t="shared" si="3"/>
        <v>86.1415133695836</v>
      </c>
      <c r="G25">
        <f t="shared" si="7"/>
        <v>85.9999707170824</v>
      </c>
      <c r="H25">
        <f t="shared" si="4"/>
        <v>0.953103829131556</v>
      </c>
      <c r="I25">
        <f t="shared" si="8"/>
        <v>0.954672490643409</v>
      </c>
      <c r="J25">
        <f t="shared" si="5"/>
        <v>77.4555937224965</v>
      </c>
      <c r="K25">
        <f t="shared" si="6"/>
        <v>53.3613715323913</v>
      </c>
      <c r="M25" s="31" t="s">
        <v>138</v>
      </c>
    </row>
    <row r="26" spans="2:14">
      <c r="B26">
        <v>7</v>
      </c>
      <c r="C26" s="4">
        <f t="shared" si="0"/>
        <v>77.8210116731518</v>
      </c>
      <c r="D26">
        <f t="shared" si="1"/>
        <v>12.1</v>
      </c>
      <c r="E26" s="4">
        <f t="shared" si="2"/>
        <v>33.7</v>
      </c>
      <c r="F26">
        <f t="shared" si="3"/>
        <v>81.8564268849557</v>
      </c>
      <c r="G26">
        <f t="shared" si="7"/>
        <v>81.9645953191758</v>
      </c>
      <c r="H26">
        <f t="shared" si="4"/>
        <v>0.950701302690924</v>
      </c>
      <c r="I26">
        <f t="shared" si="8"/>
        <v>0.949446664991285</v>
      </c>
      <c r="J26">
        <f t="shared" si="5"/>
        <v>73.4170530381328</v>
      </c>
      <c r="K26">
        <f t="shared" si="6"/>
        <v>50.5791054680565</v>
      </c>
    </row>
    <row r="27" spans="2:14">
      <c r="B27">
        <v>8</v>
      </c>
      <c r="C27" s="4">
        <f t="shared" si="0"/>
        <v>76.6283524904214</v>
      </c>
      <c r="D27">
        <f t="shared" si="1"/>
        <v>10.7</v>
      </c>
      <c r="E27" s="4">
        <f t="shared" si="2"/>
        <v>29.4</v>
      </c>
      <c r="F27">
        <f t="shared" si="3"/>
        <v>76.9754057853328</v>
      </c>
      <c r="G27">
        <f t="shared" si="7"/>
        <v>76.5570188863126</v>
      </c>
      <c r="H27">
        <f t="shared" si="4"/>
        <v>0.995491374272464</v>
      </c>
      <c r="I27">
        <f t="shared" si="8"/>
        <v>1.00093177092246</v>
      </c>
      <c r="J27">
        <f t="shared" si="5"/>
        <v>72.29188747433</v>
      </c>
      <c r="K27">
        <f t="shared" si="6"/>
        <v>49.8039467635652</v>
      </c>
    </row>
  </sheetData>
  <mergeCells count="2">
    <mergeCell ref="F18:G18"/>
    <mergeCell ref="H18:I1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1</vt:lpstr>
      <vt:lpstr>2</vt:lpstr>
      <vt:lpstr>3</vt:lpstr>
      <vt:lpstr>6</vt:lpstr>
      <vt:lpstr>7</vt:lpstr>
      <vt:lpstr>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张存昊</cp:lastModifiedBy>
  <dcterms:created xsi:type="dcterms:W3CDTF">2023-05-12T11:15:00Z</dcterms:created>
  <dcterms:modified xsi:type="dcterms:W3CDTF">2026-05-26T11:19:42Z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838EDB3DAA0548A8834033240A205AEF_13</vt:lpwstr>
  </property>
  <property fmtid="{D5CDD505-2E9C-101B-9397-08002B2CF9AE}" pid="4" name="CalculationRule">
    <vt:i4>0</vt:i4>
  </property>
</Properties>
</file>